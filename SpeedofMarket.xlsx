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3DC777DE-C8DF-4448-9594-A8467E035762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'CloseDateSpeedOfMarket'!$A$1:$D$39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" l="1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15" i="2"/>
  <c r="S16" i="2"/>
  <c r="S17" i="2"/>
  <c r="S18" i="2"/>
  <c r="S19" i="2"/>
  <c r="S20" i="2"/>
  <c r="S21" i="2"/>
  <c r="S22" i="2"/>
  <c r="S23" i="2"/>
  <c r="S24" i="2"/>
  <c r="S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14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C42" i="2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41" i="2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F4" i="1" l="1"/>
  <c r="H4" i="1" s="1"/>
  <c r="J4" i="1" s="1"/>
  <c r="E4" i="1"/>
  <c r="G4" i="1" s="1"/>
  <c r="I4" i="1" s="1"/>
  <c r="E2" i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<sst xmlns="http://schemas.openxmlformats.org/spreadsheetml/2006/main" count="57" uniqueCount="57">
  <si>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</si>
  <si>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</si>
  <si>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</si>
  <si>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</si>
  <si>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</si>
  <si>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</si>
  <si>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</si>
  <si>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</si>
  <si>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</si>
  <si>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</si>
  <si>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</si>
  <si>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</si>
  <si>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</si>
  <si>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</si>
  <si>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</si>
  <si>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</si>
  <si>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</si>
  <si>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</si>
  <si>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</si>
  <si>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</si>
  <si>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</si>
  <si>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</si>
  <si>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</si>
  <si>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</si>
  <si>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</si>
  <si>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</si>
  <si>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</si>
  <si>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</si>
  <si>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</si>
  <si>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</si>
  <si>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</si>
  <si>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</si>
  <si>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</si>
  <si>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</si>
  <si>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</si>
  <si>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</si>
  <si>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</si>
  <si>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</si>
  <si>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</si>
  <si>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</si>
  <si>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</si>
  <si>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</si>
  <si>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</si>
  <si>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</si>
  <si>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</si>
  <si>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</si>
  <si>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</si>
  <si>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</si>
  <si>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</si>
  <si>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</si>
  <si>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</si>
  <si>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</si>
  <si>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</si>
  <si>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</si>
  <si>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</si>
  <si>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</si>
  <si>
    <t>Estimate for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</si>
</sst>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9" fontId="0" fillId="0" borderId="0" xfId="3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1123</c:v>
                </c:pt>
                <c:pt idx="36">
                  <c:v>1239</c:v>
                </c:pt>
                <c:pt idx="37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ableType="queryTable" totalsRowShown="0">
  <autoFilter ref="A1:D39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S42"/>
  <sheetViews>
    <sheetView tabSelected="1" topLeftCell="A19" workbookViewId="0">
      <selection activeCell="B39" sqref="B39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19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19" x14ac:dyDescent="0.3">
      <c r="A2" t="s">
        <v>41</v>
      </c>
      <c r="B2" s="1">
        <v>1198</v>
      </c>
      <c r="C2" s="1">
        <v>31</v>
      </c>
      <c r="D2" s="1">
        <v>39</v>
      </c>
      <c r="Q2" s="19"/>
    </row>
    <row r="3" spans="1:19" x14ac:dyDescent="0.3">
      <c r="A3" t="s">
        <v>29</v>
      </c>
      <c r="B3" s="1">
        <v>1737</v>
      </c>
      <c r="C3" s="1">
        <v>28</v>
      </c>
      <c r="D3" s="1">
        <v>62</v>
      </c>
      <c r="Q3" s="19"/>
    </row>
    <row r="4" spans="1:19" x14ac:dyDescent="0.3">
      <c r="A4" t="s">
        <v>30</v>
      </c>
      <c r="B4" s="1">
        <v>2424</v>
      </c>
      <c r="C4" s="1">
        <v>31</v>
      </c>
      <c r="D4" s="1">
        <v>78</v>
      </c>
      <c r="Q4" s="19"/>
    </row>
    <row r="5" spans="1:19" x14ac:dyDescent="0.3">
      <c r="A5" t="s">
        <v>31</v>
      </c>
      <c r="B5" s="1">
        <v>2686</v>
      </c>
      <c r="C5" s="1">
        <v>30</v>
      </c>
      <c r="D5" s="1">
        <v>90</v>
      </c>
      <c r="Q5" s="19"/>
    </row>
    <row r="6" spans="1:19" x14ac:dyDescent="0.3">
      <c r="A6" t="s">
        <v>32</v>
      </c>
      <c r="B6" s="1">
        <v>3117</v>
      </c>
      <c r="C6" s="1">
        <v>31</v>
      </c>
      <c r="D6" s="1">
        <v>101</v>
      </c>
      <c r="Q6" s="19"/>
    </row>
    <row r="7" spans="1:19" x14ac:dyDescent="0.3">
      <c r="A7" t="s">
        <v>33</v>
      </c>
      <c r="B7" s="1">
        <v>3140</v>
      </c>
      <c r="C7" s="1">
        <v>30</v>
      </c>
      <c r="D7" s="1">
        <v>105</v>
      </c>
      <c r="Q7" s="19"/>
    </row>
    <row r="8" spans="1:19" x14ac:dyDescent="0.3">
      <c r="A8" t="s">
        <v>34</v>
      </c>
      <c r="B8" s="1">
        <v>2644</v>
      </c>
      <c r="C8" s="1">
        <v>31</v>
      </c>
      <c r="D8" s="1">
        <v>85</v>
      </c>
      <c r="Q8" s="19"/>
    </row>
    <row r="9" spans="1:19" x14ac:dyDescent="0.3">
      <c r="A9" t="s">
        <v>35</v>
      </c>
      <c r="B9" s="1">
        <v>2716</v>
      </c>
      <c r="C9" s="1">
        <v>31</v>
      </c>
      <c r="D9" s="1">
        <v>88</v>
      </c>
      <c r="Q9" s="19"/>
    </row>
    <row r="10" spans="1:19" x14ac:dyDescent="0.3">
      <c r="A10" t="s">
        <v>36</v>
      </c>
      <c r="B10" s="1">
        <v>2430</v>
      </c>
      <c r="C10" s="1">
        <v>30</v>
      </c>
      <c r="D10" s="1">
        <v>81</v>
      </c>
      <c r="Q10" s="19"/>
    </row>
    <row r="11" spans="1:19" x14ac:dyDescent="0.3">
      <c r="A11" t="s">
        <v>37</v>
      </c>
      <c r="B11" s="1">
        <v>2169</v>
      </c>
      <c r="C11" s="1">
        <v>31</v>
      </c>
      <c r="D11" s="1">
        <v>70</v>
      </c>
      <c r="Q11" s="19"/>
    </row>
    <row r="12" spans="1:19" x14ac:dyDescent="0.3">
      <c r="A12" t="s">
        <v>38</v>
      </c>
      <c r="B12" s="1">
        <v>1783</v>
      </c>
      <c r="C12" s="1">
        <v>30</v>
      </c>
      <c r="D12" s="1">
        <v>59</v>
      </c>
      <c r="Q12" s="19"/>
    </row>
    <row r="13" spans="1:19" x14ac:dyDescent="0.3">
      <c r="A13" t="s">
        <v>39</v>
      </c>
      <c r="B13" s="1">
        <v>1363</v>
      </c>
      <c r="C13" s="1">
        <v>31</v>
      </c>
      <c r="D13" s="1">
        <v>44</v>
      </c>
      <c r="Q13" s="19"/>
    </row>
    <row r="14" spans="1:19" x14ac:dyDescent="0.3">
      <c r="A14" t="s">
        <v>40</v>
      </c>
      <c r="B14" s="1">
        <v>1648</v>
      </c>
      <c r="C14" s="1">
        <v>31</v>
      </c>
      <c r="D14" s="1">
        <v>53</v>
      </c>
      <c r="Q14" s="19">
        <f t="shared" ref="Q14:Q26" si="0">D14/D2-1</f>
        <v>0.35897435897435903</v>
      </c>
      <c r="R14" s="19">
        <f>B14/B2-1</f>
        <v>0.37562604340567618</v>
      </c>
      <c r="S14" t="str">
        <f>A14</f>
        <v>Jan 2024</v>
      </c>
    </row>
    <row r="15" spans="1:19" x14ac:dyDescent="0.3">
      <c r="A15" t="s">
        <v>4</v>
      </c>
      <c r="B15" s="1">
        <v>2132</v>
      </c>
      <c r="C15" s="1">
        <v>29</v>
      </c>
      <c r="D15" s="1">
        <v>74</v>
      </c>
      <c r="Q15" s="19">
        <f t="shared" si="0"/>
        <v>0.19354838709677424</v>
      </c>
      <c r="R15" s="19">
        <f t="shared" ref="R15:R39" si="1">B15/B3-1</f>
        <v>0.22740356937248118</v>
      </c>
      <c r="S15" t="str">
        <f t="shared" ref="S15:S39" si="2">A15</f>
        <v>Feb 2024</v>
      </c>
    </row>
    <row r="16" spans="1:19" x14ac:dyDescent="0.3">
      <c r="A16" t="s">
        <v>5</v>
      </c>
      <c r="B16" s="1">
        <v>2658</v>
      </c>
      <c r="C16" s="1">
        <v>31</v>
      </c>
      <c r="D16" s="1">
        <v>86</v>
      </c>
      <c r="Q16" s="19">
        <f t="shared" si="0"/>
        <v>0.10256410256410264</v>
      </c>
      <c r="R16" s="19">
        <f t="shared" si="1"/>
        <v>9.653465346534662E-2</v>
      </c>
      <c r="S16" t="str">
        <f t="shared" si="2"/>
        <v>Mar 2024</v>
      </c>
    </row>
    <row r="17" spans="1:19" x14ac:dyDescent="0.3">
      <c r="A17" t="s">
        <v>6</v>
      </c>
      <c r="B17" s="1">
        <v>2875</v>
      </c>
      <c r="C17" s="1">
        <v>30</v>
      </c>
      <c r="D17" s="1">
        <v>96</v>
      </c>
      <c r="Q17" s="19">
        <f t="shared" si="0"/>
        <v>6.6666666666666652E-2</v>
      </c>
      <c r="R17" s="19">
        <f t="shared" si="1"/>
        <v>7.036485480268051E-2</v>
      </c>
      <c r="S17" t="str">
        <f t="shared" si="2"/>
        <v>Apr 2024</v>
      </c>
    </row>
    <row r="18" spans="1:19" x14ac:dyDescent="0.3">
      <c r="A18" t="s">
        <v>7</v>
      </c>
      <c r="B18" s="1">
        <v>3090</v>
      </c>
      <c r="C18" s="1">
        <v>31</v>
      </c>
      <c r="D18" s="1">
        <v>100</v>
      </c>
      <c r="Q18" s="19">
        <f t="shared" si="0"/>
        <v>-9.9009900990099098E-3</v>
      </c>
      <c r="R18" s="19">
        <f t="shared" si="1"/>
        <v>-8.6621751684311521E-3</v>
      </c>
      <c r="S18" t="str">
        <f t="shared" si="2"/>
        <v>May 2024</v>
      </c>
    </row>
    <row r="19" spans="1:19" x14ac:dyDescent="0.3">
      <c r="A19" t="s">
        <v>8</v>
      </c>
      <c r="B19" s="1">
        <v>2737</v>
      </c>
      <c r="C19" s="1">
        <v>30</v>
      </c>
      <c r="D19" s="1">
        <v>91</v>
      </c>
      <c r="Q19" s="19">
        <f t="shared" si="0"/>
        <v>-0.1333333333333333</v>
      </c>
      <c r="R19" s="19">
        <f t="shared" si="1"/>
        <v>-0.12834394904458601</v>
      </c>
      <c r="S19" t="str">
        <f t="shared" si="2"/>
        <v>Jun 2024</v>
      </c>
    </row>
    <row r="20" spans="1:19" x14ac:dyDescent="0.3">
      <c r="A20" t="s">
        <v>9</v>
      </c>
      <c r="B20" s="1">
        <v>2374</v>
      </c>
      <c r="C20" s="1">
        <v>31</v>
      </c>
      <c r="D20" s="1">
        <v>77</v>
      </c>
      <c r="Q20" s="19">
        <f t="shared" si="0"/>
        <v>-9.4117647058823528E-2</v>
      </c>
      <c r="R20" s="19">
        <f t="shared" si="1"/>
        <v>-0.10211800302571861</v>
      </c>
      <c r="S20" t="str">
        <f t="shared" si="2"/>
        <v>Jul 2024</v>
      </c>
    </row>
    <row r="21" spans="1:19" x14ac:dyDescent="0.3">
      <c r="A21" t="s">
        <v>10</v>
      </c>
      <c r="B21" s="1">
        <v>2183</v>
      </c>
      <c r="C21" s="1">
        <v>31</v>
      </c>
      <c r="D21" s="1">
        <v>70</v>
      </c>
      <c r="Q21" s="19">
        <f t="shared" si="0"/>
        <v>-0.20454545454545459</v>
      </c>
      <c r="R21" s="19">
        <f t="shared" si="1"/>
        <v>-0.19624447717231219</v>
      </c>
      <c r="S21" t="str">
        <f t="shared" si="2"/>
        <v>Aug 2024</v>
      </c>
    </row>
    <row r="22" spans="1:19" x14ac:dyDescent="0.3">
      <c r="A22" t="s">
        <v>11</v>
      </c>
      <c r="B22" s="1">
        <v>1999</v>
      </c>
      <c r="C22" s="1">
        <v>30</v>
      </c>
      <c r="D22" s="1">
        <v>67</v>
      </c>
      <c r="Q22" s="19">
        <f t="shared" si="0"/>
        <v>-0.1728395061728395</v>
      </c>
      <c r="R22" s="19">
        <f t="shared" si="1"/>
        <v>-0.17736625514403292</v>
      </c>
      <c r="S22" t="str">
        <f t="shared" si="2"/>
        <v>Sep 2024</v>
      </c>
    </row>
    <row r="23" spans="1:19" x14ac:dyDescent="0.3">
      <c r="A23" t="s">
        <v>12</v>
      </c>
      <c r="B23" s="1">
        <v>2167</v>
      </c>
      <c r="C23" s="1">
        <v>31</v>
      </c>
      <c r="D23" s="1">
        <v>70</v>
      </c>
      <c r="Q23" s="19">
        <f t="shared" si="0"/>
        <v>0</v>
      </c>
      <c r="R23" s="19">
        <f t="shared" si="1"/>
        <v>-9.2208390963577358E-4</v>
      </c>
      <c r="S23" t="str">
        <f t="shared" si="2"/>
        <v>Oct 2024</v>
      </c>
    </row>
    <row r="24" spans="1:19" x14ac:dyDescent="0.3">
      <c r="A24" t="s">
        <v>13</v>
      </c>
      <c r="B24" s="1">
        <v>1793</v>
      </c>
      <c r="C24" s="1">
        <v>30</v>
      </c>
      <c r="D24" s="1">
        <v>60</v>
      </c>
      <c r="Q24" s="19">
        <f t="shared" si="0"/>
        <v>1.6949152542372836E-2</v>
      </c>
      <c r="R24" s="19">
        <f t="shared" si="1"/>
        <v>5.6085249579360674E-3</v>
      </c>
      <c r="S24" t="str">
        <f t="shared" si="2"/>
        <v>Nov 2024</v>
      </c>
    </row>
    <row r="25" spans="1:19" x14ac:dyDescent="0.3">
      <c r="A25" t="s">
        <v>14</v>
      </c>
      <c r="B25" s="1">
        <v>1318</v>
      </c>
      <c r="C25" s="1">
        <v>31</v>
      </c>
      <c r="D25" s="1">
        <v>43</v>
      </c>
      <c r="Q25" s="19">
        <f t="shared" si="0"/>
        <v>-2.2727272727272707E-2</v>
      </c>
      <c r="R25" s="19">
        <f t="shared" si="1"/>
        <v>-3.301540719002205E-2</v>
      </c>
      <c r="S25" t="str">
        <f t="shared" si="2"/>
        <v>Dec 2024</v>
      </c>
    </row>
    <row r="26" spans="1:19" x14ac:dyDescent="0.3">
      <c r="A26" t="s">
        <v>15</v>
      </c>
      <c r="B26" s="1">
        <v>1449</v>
      </c>
      <c r="C26" s="1">
        <v>31</v>
      </c>
      <c r="D26" s="1">
        <v>47</v>
      </c>
      <c r="Q26" s="19">
        <f t="shared" si="0"/>
        <v>-0.1132075471698113</v>
      </c>
      <c r="R26" s="19">
        <f t="shared" si="1"/>
        <v>-0.12075242718446599</v>
      </c>
      <c r="S26" t="str">
        <f t="shared" si="2"/>
        <v>Jan 2025</v>
      </c>
    </row>
    <row r="27" spans="1:19" x14ac:dyDescent="0.3">
      <c r="A27" t="s">
        <v>16</v>
      </c>
      <c r="B27" s="1">
        <v>1718</v>
      </c>
      <c r="C27" s="1">
        <v>28</v>
      </c>
      <c r="D27" s="1">
        <v>61</v>
      </c>
      <c r="Q27" s="19">
        <f>D27/D15-1</f>
        <v>-0.17567567567567566</v>
      </c>
      <c r="R27" s="19">
        <f t="shared" si="1"/>
        <v>-0.19418386491557227</v>
      </c>
      <c r="S27" t="str">
        <f t="shared" si="2"/>
        <v>Feb 2025</v>
      </c>
    </row>
    <row r="28" spans="1:19" x14ac:dyDescent="0.3">
      <c r="A28" t="s">
        <v>17</v>
      </c>
      <c r="B28" s="1">
        <v>2156</v>
      </c>
      <c r="C28" s="1">
        <v>31</v>
      </c>
      <c r="D28" s="1">
        <v>70</v>
      </c>
      <c r="Q28" s="19">
        <f t="shared" ref="Q28:Q38" si="3">D28/D16-1</f>
        <v>-0.18604651162790697</v>
      </c>
      <c r="R28" s="19">
        <f t="shared" si="1"/>
        <v>-0.18886380737396535</v>
      </c>
      <c r="S28" t="str">
        <f t="shared" si="2"/>
        <v>Mar 2025</v>
      </c>
    </row>
    <row r="29" spans="1:19" x14ac:dyDescent="0.3">
      <c r="A29" t="s">
        <v>18</v>
      </c>
      <c r="B29" s="1">
        <v>2230</v>
      </c>
      <c r="C29" s="1">
        <v>30</v>
      </c>
      <c r="D29" s="1">
        <v>74</v>
      </c>
      <c r="Q29" s="19">
        <f t="shared" si="3"/>
        <v>-0.22916666666666663</v>
      </c>
      <c r="R29" s="19">
        <f t="shared" si="1"/>
        <v>-0.22434782608695647</v>
      </c>
      <c r="S29" t="str">
        <f t="shared" si="2"/>
        <v>Apr 2025</v>
      </c>
    </row>
    <row r="30" spans="1:19" x14ac:dyDescent="0.3">
      <c r="A30" t="s">
        <v>19</v>
      </c>
      <c r="B30" s="1">
        <v>2559</v>
      </c>
      <c r="C30" s="1">
        <v>31</v>
      </c>
      <c r="D30" s="1">
        <v>83</v>
      </c>
      <c r="Q30" s="19">
        <f t="shared" si="3"/>
        <v>-0.17000000000000004</v>
      </c>
      <c r="R30" s="19">
        <f t="shared" si="1"/>
        <v>-0.17184466019417477</v>
      </c>
      <c r="S30" t="str">
        <f t="shared" si="2"/>
        <v>May 2025</v>
      </c>
    </row>
    <row r="31" spans="1:19" x14ac:dyDescent="0.3">
      <c r="A31" t="s">
        <v>20</v>
      </c>
      <c r="B31" s="1">
        <v>2284</v>
      </c>
      <c r="C31" s="1">
        <v>30</v>
      </c>
      <c r="D31" s="1">
        <v>76</v>
      </c>
      <c r="Q31" s="19">
        <f t="shared" si="3"/>
        <v>-0.1648351648351648</v>
      </c>
      <c r="R31" s="19">
        <f t="shared" si="1"/>
        <v>-0.16550968213372308</v>
      </c>
      <c r="S31" t="str">
        <f t="shared" si="2"/>
        <v>Jun 2025</v>
      </c>
    </row>
    <row r="32" spans="1:19" x14ac:dyDescent="0.3">
      <c r="A32" t="s">
        <v>21</v>
      </c>
      <c r="B32" s="1">
        <v>2096</v>
      </c>
      <c r="C32" s="1">
        <v>31</v>
      </c>
      <c r="D32" s="1">
        <v>68</v>
      </c>
      <c r="Q32" s="19">
        <f t="shared" si="3"/>
        <v>-0.11688311688311692</v>
      </c>
      <c r="R32" s="19">
        <f t="shared" si="1"/>
        <v>-0.11710193765796129</v>
      </c>
      <c r="S32" t="str">
        <f t="shared" si="2"/>
        <v>Jul 2025</v>
      </c>
    </row>
    <row r="33" spans="1:19" x14ac:dyDescent="0.3">
      <c r="A33" t="s">
        <v>22</v>
      </c>
      <c r="B33" s="1">
        <v>1986</v>
      </c>
      <c r="C33" s="1">
        <v>31</v>
      </c>
      <c r="D33" s="1">
        <v>64</v>
      </c>
      <c r="Q33" s="19">
        <f t="shared" si="3"/>
        <v>-8.5714285714285743E-2</v>
      </c>
      <c r="R33" s="19">
        <f t="shared" si="1"/>
        <v>-9.0242785158039407E-2</v>
      </c>
      <c r="S33" t="str">
        <f t="shared" si="2"/>
        <v>Aug 2025</v>
      </c>
    </row>
    <row r="34" spans="1:19" x14ac:dyDescent="0.3">
      <c r="A34" t="s">
        <v>23</v>
      </c>
      <c r="B34" s="1">
        <v>1717</v>
      </c>
      <c r="C34" s="1">
        <v>30</v>
      </c>
      <c r="D34" s="1">
        <v>57</v>
      </c>
      <c r="Q34" s="19">
        <f t="shared" si="3"/>
        <v>-0.14925373134328357</v>
      </c>
      <c r="R34" s="19">
        <f t="shared" si="1"/>
        <v>-0.1410705352676338</v>
      </c>
      <c r="S34" t="str">
        <f t="shared" si="2"/>
        <v>Sep 2025</v>
      </c>
    </row>
    <row r="35" spans="1:19" x14ac:dyDescent="0.3">
      <c r="A35" t="s">
        <v>24</v>
      </c>
      <c r="B35" s="1">
        <v>1879</v>
      </c>
      <c r="C35" s="1">
        <v>31</v>
      </c>
      <c r="D35" s="1">
        <v>61</v>
      </c>
      <c r="Q35" s="19">
        <f t="shared" si="3"/>
        <v>-0.12857142857142856</v>
      </c>
      <c r="R35" s="19">
        <f t="shared" si="1"/>
        <v>-0.13290263036455929</v>
      </c>
      <c r="S35" t="str">
        <f t="shared" si="2"/>
        <v>Oct 2025</v>
      </c>
    </row>
    <row r="36" spans="1:19" x14ac:dyDescent="0.3">
      <c r="A36" t="s">
        <v>25</v>
      </c>
      <c r="B36" s="1">
        <v>1547</v>
      </c>
      <c r="C36" s="1">
        <v>30</v>
      </c>
      <c r="D36" s="1">
        <v>52</v>
      </c>
      <c r="Q36" s="19">
        <f t="shared" si="3"/>
        <v>-0.1333333333333333</v>
      </c>
      <c r="R36" s="19">
        <f t="shared" si="1"/>
        <v>-0.13720022308979363</v>
      </c>
      <c r="S36" t="str">
        <f t="shared" si="2"/>
        <v>Nov 2025</v>
      </c>
    </row>
    <row r="37" spans="1:19" x14ac:dyDescent="0.3">
      <c r="A37" t="s">
        <v>26</v>
      </c>
      <c r="B37" s="1">
        <v>1123</v>
      </c>
      <c r="C37" s="1">
        <v>31</v>
      </c>
      <c r="D37" s="1">
        <v>36</v>
      </c>
      <c r="Q37" s="19">
        <f t="shared" si="3"/>
        <v>-0.16279069767441856</v>
      </c>
      <c r="R37" s="19">
        <f t="shared" si="1"/>
        <v>-0.14795144157814866</v>
      </c>
      <c r="S37" t="str">
        <f t="shared" si="2"/>
        <v>Dec 2025</v>
      </c>
    </row>
    <row r="38" spans="1:19" x14ac:dyDescent="0.3">
      <c r="A38" t="s">
        <v>27</v>
      </c>
      <c r="B38" s="1">
        <v>1239</v>
      </c>
      <c r="C38" s="1">
        <v>31</v>
      </c>
      <c r="D38" s="1">
        <v>40</v>
      </c>
      <c r="Q38" s="19">
        <f t="shared" si="3"/>
        <v>-0.14893617021276595</v>
      </c>
      <c r="R38" s="19">
        <f t="shared" si="1"/>
        <v>-0.14492753623188404</v>
      </c>
      <c r="S38" t="str">
        <f t="shared" si="2"/>
        <v>Jan 2026</v>
      </c>
    </row>
    <row r="39" spans="1:19" x14ac:dyDescent="0.3">
      <c r="A39" t="s">
        <v>28</v>
      </c>
      <c r="B39" s="1">
        <v>1264</v>
      </c>
      <c r="C39" s="1">
        <v>25</v>
      </c>
      <c r="D39" s="1">
        <v>51</v>
      </c>
      <c r="Q39" s="19">
        <f>D39/D27-1</f>
        <v>-0.16393442622950816</v>
      </c>
      <c r="R39" s="19">
        <f t="shared" si="1"/>
        <v>-0.26426076833527357</v>
      </c>
      <c r="S39" t="str">
        <f t="shared" si="2"/>
        <v>Feb 2026</v>
      </c>
    </row>
    <row r="41" spans="1:19" x14ac:dyDescent="0.3">
      <c r="A41" s="21">
        <f ca="1">NOW()</f>
        <v>46078.524767476854</v>
      </c>
      <c r="B41" s="21"/>
    </row>
    <row r="42" spans="1:19" x14ac:dyDescent="0.3">
      <c r="A42" t="s">
        <v>56</v>
      </c>
      <c r="C42" s="20">
        <f>28*D39</f>
        <v>1428</v>
      </c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2" bestFit="1" customWidth="1"/>
    <col min="10" max="10" width="18.88671875" style="12" bestFit="1" customWidth="1"/>
  </cols>
  <sheetData>
    <row r="1" spans="1:10" ht="19.05" x14ac:dyDescent="0.35">
      <c r="A1" s="8" t="s">
        <v>42</v>
      </c>
      <c r="B1" s="9" t="s">
        <v>43</v>
      </c>
      <c r="C1" s="9" t="s">
        <v>44</v>
      </c>
      <c r="D1" s="9" t="s">
        <v>45</v>
      </c>
      <c r="E1" s="10" t="s">
        <v>46</v>
      </c>
      <c r="F1" s="10" t="s">
        <v>47</v>
      </c>
      <c r="G1" s="9" t="s">
        <v>54</v>
      </c>
      <c r="H1" s="9" t="s">
        <v>55</v>
      </c>
      <c r="I1" s="11" t="s">
        <v>48</v>
      </c>
      <c r="J1" s="11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4" si="0">B2*2</f>
        <v>2898</v>
      </c>
      <c r="D2" s="2">
        <f>C2*10000</f>
        <v>28980000</v>
      </c>
      <c r="E2" s="3">
        <f>D2*80%</f>
        <v>23184000</v>
      </c>
      <c r="F2" s="3">
        <f>D2*20%</f>
        <v>5796000</v>
      </c>
      <c r="G2" s="4">
        <f>E2/(8500*20%)</f>
        <v>13637.64705882353</v>
      </c>
      <c r="H2" s="4">
        <f>F2/(8500*80%)</f>
        <v>852.35294117647061</v>
      </c>
      <c r="I2" s="5">
        <f>G2/10000</f>
        <v>1.363764705882353</v>
      </c>
      <c r="J2" s="5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2">
        <f t="shared" ref="D3:D14" si="1">C3*10000</f>
        <v>34360000</v>
      </c>
      <c r="E3" s="3">
        <f t="shared" ref="E3:E15" si="2">D3*80%</f>
        <v>27488000</v>
      </c>
      <c r="F3" s="3">
        <f t="shared" ref="F3:F15" si="3">D3*20%</f>
        <v>6872000</v>
      </c>
      <c r="G3" s="4">
        <f t="shared" ref="G3:G15" si="4">E3/(8500*20%)</f>
        <v>16169.411764705883</v>
      </c>
      <c r="H3" s="4">
        <f t="shared" ref="H3:H15" si="5">F3/(8500*80%)</f>
        <v>1010.5882352941177</v>
      </c>
      <c r="I3" s="5">
        <f t="shared" ref="I3:I15" si="6">G3/10000</f>
        <v>1.6169411764705883</v>
      </c>
      <c r="J3" s="5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2">
        <f t="shared" si="1"/>
        <v>43120000</v>
      </c>
      <c r="E4" s="3">
        <f t="shared" si="2"/>
        <v>34496000</v>
      </c>
      <c r="F4" s="3">
        <f t="shared" si="3"/>
        <v>8624000</v>
      </c>
      <c r="G4" s="4">
        <f t="shared" si="4"/>
        <v>20291.764705882353</v>
      </c>
      <c r="H4" s="4">
        <f t="shared" si="5"/>
        <v>1268.2352941176471</v>
      </c>
      <c r="I4" s="5">
        <f t="shared" si="6"/>
        <v>2.0291764705882351</v>
      </c>
      <c r="J4" s="5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2">
        <f t="shared" si="1"/>
        <v>44600000</v>
      </c>
      <c r="E5" s="3">
        <f t="shared" si="2"/>
        <v>35680000</v>
      </c>
      <c r="F5" s="3">
        <f t="shared" si="3"/>
        <v>8920000</v>
      </c>
      <c r="G5" s="4">
        <f t="shared" si="4"/>
        <v>20988.235294117647</v>
      </c>
      <c r="H5" s="4">
        <f t="shared" si="5"/>
        <v>1311.7647058823529</v>
      </c>
      <c r="I5" s="5">
        <f t="shared" si="6"/>
        <v>2.0988235294117645</v>
      </c>
      <c r="J5" s="5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2">
        <f t="shared" si="1"/>
        <v>51180000</v>
      </c>
      <c r="E6" s="3">
        <f t="shared" si="2"/>
        <v>40944000</v>
      </c>
      <c r="F6" s="3">
        <f t="shared" si="3"/>
        <v>10236000</v>
      </c>
      <c r="G6" s="4">
        <f t="shared" si="4"/>
        <v>24084.705882352941</v>
      </c>
      <c r="H6" s="4">
        <f t="shared" si="5"/>
        <v>1505.2941176470588</v>
      </c>
      <c r="I6" s="5">
        <f t="shared" si="6"/>
        <v>2.4084705882352941</v>
      </c>
      <c r="J6" s="5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2">
        <f t="shared" si="1"/>
        <v>45680000</v>
      </c>
      <c r="E7" s="3">
        <f t="shared" si="2"/>
        <v>36544000</v>
      </c>
      <c r="F7" s="3">
        <f t="shared" si="3"/>
        <v>9136000</v>
      </c>
      <c r="G7" s="4">
        <f t="shared" si="4"/>
        <v>21496.470588235294</v>
      </c>
      <c r="H7" s="4">
        <f t="shared" si="5"/>
        <v>1343.5294117647059</v>
      </c>
      <c r="I7" s="5">
        <f t="shared" si="6"/>
        <v>2.1496470588235295</v>
      </c>
      <c r="J7" s="5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2">
        <f t="shared" si="1"/>
        <v>41920000</v>
      </c>
      <c r="E8" s="3">
        <f t="shared" si="2"/>
        <v>33536000</v>
      </c>
      <c r="F8" s="3">
        <f t="shared" si="3"/>
        <v>8384000</v>
      </c>
      <c r="G8" s="4">
        <f t="shared" si="4"/>
        <v>19727.058823529413</v>
      </c>
      <c r="H8" s="4">
        <f t="shared" si="5"/>
        <v>1232.9411764705883</v>
      </c>
      <c r="I8" s="5">
        <f t="shared" si="6"/>
        <v>1.9727058823529413</v>
      </c>
      <c r="J8" s="5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2">
        <f t="shared" si="1"/>
        <v>39720000</v>
      </c>
      <c r="E9" s="3">
        <f t="shared" si="2"/>
        <v>31776000</v>
      </c>
      <c r="F9" s="3">
        <f t="shared" si="3"/>
        <v>7944000</v>
      </c>
      <c r="G9" s="4">
        <f t="shared" si="4"/>
        <v>18691.764705882353</v>
      </c>
      <c r="H9" s="4">
        <f t="shared" si="5"/>
        <v>1168.2352941176471</v>
      </c>
      <c r="I9" s="5">
        <f t="shared" si="6"/>
        <v>1.8691764705882352</v>
      </c>
      <c r="J9" s="5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2">
        <f t="shared" si="1"/>
        <v>34340000</v>
      </c>
      <c r="E10" s="3">
        <f t="shared" si="2"/>
        <v>27472000</v>
      </c>
      <c r="F10" s="3">
        <f t="shared" si="3"/>
        <v>6868000</v>
      </c>
      <c r="G10" s="4">
        <f t="shared" si="4"/>
        <v>16160</v>
      </c>
      <c r="H10" s="4">
        <f t="shared" si="5"/>
        <v>1010</v>
      </c>
      <c r="I10" s="5">
        <f t="shared" si="6"/>
        <v>1.6160000000000001</v>
      </c>
      <c r="J10" s="5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2">
        <f t="shared" si="1"/>
        <v>37580000</v>
      </c>
      <c r="E11" s="3">
        <f t="shared" si="2"/>
        <v>30064000</v>
      </c>
      <c r="F11" s="3">
        <f t="shared" si="3"/>
        <v>7516000</v>
      </c>
      <c r="G11" s="4">
        <f t="shared" si="4"/>
        <v>17684.705882352941</v>
      </c>
      <c r="H11" s="4">
        <f t="shared" si="5"/>
        <v>1105.2941176470588</v>
      </c>
      <c r="I11" s="5">
        <f t="shared" si="6"/>
        <v>1.768470588235294</v>
      </c>
      <c r="J11" s="5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2">
        <f t="shared" si="1"/>
        <v>30940000</v>
      </c>
      <c r="E12" s="3">
        <f t="shared" si="2"/>
        <v>24752000</v>
      </c>
      <c r="F12" s="3">
        <f t="shared" si="3"/>
        <v>6188000</v>
      </c>
      <c r="G12" s="4">
        <f t="shared" si="4"/>
        <v>14560</v>
      </c>
      <c r="H12" s="4">
        <f t="shared" si="5"/>
        <v>910</v>
      </c>
      <c r="I12" s="5">
        <f t="shared" si="6"/>
        <v>1.456</v>
      </c>
      <c r="J12" s="5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1123</v>
      </c>
      <c r="C13" s="1">
        <f t="shared" si="0"/>
        <v>2246</v>
      </c>
      <c r="D13" s="2">
        <f t="shared" si="1"/>
        <v>22460000</v>
      </c>
      <c r="E13" s="3">
        <f t="shared" si="2"/>
        <v>17968000</v>
      </c>
      <c r="F13" s="3">
        <f t="shared" si="3"/>
        <v>4492000</v>
      </c>
      <c r="G13" s="4">
        <f t="shared" si="4"/>
        <v>10569.411764705883</v>
      </c>
      <c r="H13" s="4">
        <f t="shared" si="5"/>
        <v>660.58823529411768</v>
      </c>
      <c r="I13" s="5">
        <f t="shared" si="6"/>
        <v>1.0569411764705883</v>
      </c>
      <c r="J13" s="5">
        <f t="shared" si="7"/>
        <v>6.6058823529411767E-2</v>
      </c>
    </row>
    <row r="14" spans="1:10" x14ac:dyDescent="0.3">
      <c r="A14" t="str">
        <f>'CloseDateSpeedOfMarket'!A38</f>
        <v>Jan 2026</v>
      </c>
      <c r="B14" s="1">
        <f>'CloseDateSpeedOfMarket'!B38</f>
        <v>1239</v>
      </c>
      <c r="C14" s="1">
        <f t="shared" si="0"/>
        <v>2478</v>
      </c>
      <c r="D14" s="2">
        <f t="shared" si="1"/>
        <v>24780000</v>
      </c>
      <c r="E14" s="3">
        <f t="shared" si="2"/>
        <v>19824000</v>
      </c>
      <c r="F14" s="3">
        <f t="shared" si="3"/>
        <v>4956000</v>
      </c>
      <c r="G14" s="4">
        <f t="shared" si="4"/>
        <v>11661.176470588236</v>
      </c>
      <c r="H14" s="4">
        <f t="shared" si="5"/>
        <v>728.82352941176475</v>
      </c>
      <c r="I14" s="5">
        <f t="shared" si="6"/>
        <v>1.1661176470588237</v>
      </c>
      <c r="J14" s="5">
        <f t="shared" si="7"/>
        <v>7.2882352941176481E-2</v>
      </c>
    </row>
    <row r="15" spans="1:10" x14ac:dyDescent="0.3">
      <c r="B15" s="13">
        <f t="shared" ref="B15:C15" si="8">SUM(B2:B14)</f>
        <v>23983</v>
      </c>
      <c r="C15" s="13">
        <f t="shared" si="8"/>
        <v>47966</v>
      </c>
      <c r="D15" s="14">
        <f>SUM(D2:D14)</f>
        <v>479660000</v>
      </c>
      <c r="E15" s="15">
        <f t="shared" si="2"/>
        <v>383728000</v>
      </c>
      <c r="F15" s="15">
        <f t="shared" si="3"/>
        <v>95932000</v>
      </c>
      <c r="G15" s="16">
        <f t="shared" si="4"/>
        <v>225722.35294117648</v>
      </c>
      <c r="H15" s="16">
        <f t="shared" si="5"/>
        <v>14107.64705882353</v>
      </c>
      <c r="I15" s="17">
        <f t="shared" si="6"/>
        <v>22.572235294117647</v>
      </c>
      <c r="J15" s="17">
        <f t="shared" si="7"/>
        <v>1.4107647058823529</v>
      </c>
    </row>
    <row r="16" spans="1:10" x14ac:dyDescent="0.3">
      <c r="E16" s="18">
        <f>E15/D15</f>
        <v>0.8</v>
      </c>
      <c r="F16" s="18">
        <f>F15/D15</f>
        <v>0.2</v>
      </c>
      <c r="G16" s="4"/>
    </row>
    <row r="17" spans="1:4" ht="25.85" x14ac:dyDescent="0.45">
      <c r="A17" s="6" t="s">
        <v>50</v>
      </c>
      <c r="B17" s="7"/>
      <c r="C17" s="7"/>
      <c r="D17" s="7"/>
    </row>
    <row r="18" spans="1:4" ht="25.85" x14ac:dyDescent="0.45">
      <c r="A18" s="6" t="s">
        <v>51</v>
      </c>
      <c r="B18" s="7"/>
      <c r="C18" s="7"/>
      <c r="D18" s="7"/>
    </row>
    <row r="19" spans="1:4" ht="25.85" x14ac:dyDescent="0.45">
      <c r="A19" s="6" t="s">
        <v>53</v>
      </c>
      <c r="B19" s="7"/>
      <c r="C19" s="7"/>
      <c r="D19" s="7"/>
    </row>
    <row r="20" spans="1:4" ht="25.85" x14ac:dyDescent="0.45">
      <c r="A20" s="6" t="s">
        <v>52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2026-02-25T19:35:54Z</cp:lastPrinted>
  <dcterms:created xsi:type="dcterms:W3CDTF">2026-02-04T19:45:12Z</dcterms:created>
  <dcterms:modified xsi:type="dcterms:W3CDTF">2026-02-25T19:36:18Z</dcterms:modified>
</cp:coreProperties>
</file>