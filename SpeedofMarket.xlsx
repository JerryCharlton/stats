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E788D5D6-543D-4BE9-84CB-83D909E68BDE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'CloseDateSpeedOfMarket'!$A$1:$D$39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C6" i="1"/>
  <c r="D6" i="1" s="1"/>
  <c r="B2" i="1"/>
  <c r="C2" i="1" s="1"/>
  <c r="B3" i="1"/>
  <c r="C3" i="1" s="1"/>
  <c r="D3" i="1" s="1"/>
  <c r="B4" i="1"/>
  <c r="C4" i="1" s="1"/>
  <c r="D4" i="1" s="1"/>
  <c r="B5" i="1"/>
  <c r="C5" i="1" s="1"/>
  <c r="D5" i="1" s="1"/>
  <c r="B6" i="1"/>
  <c r="B7" i="1"/>
  <c r="C7" i="1" s="1"/>
  <c r="D7" i="1" s="1"/>
  <c r="B8" i="1"/>
  <c r="C8" i="1" s="1"/>
  <c r="D8" i="1" s="1"/>
  <c r="B9" i="1"/>
  <c r="C9" i="1" s="1"/>
  <c r="D9" i="1" s="1"/>
  <c r="B10" i="1"/>
  <c r="C10" i="1" s="1"/>
  <c r="D10" i="1" s="1"/>
  <c r="B11" i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R25" i="2"/>
  <c r="A41" i="2"/>
  <c r="F6" i="1" l="1"/>
  <c r="H6" i="1" s="1"/>
  <c r="J6" i="1" s="1"/>
  <c r="E6" i="1"/>
  <c r="G6" i="1" s="1"/>
  <c r="I6" i="1" s="1"/>
  <c r="D2" i="1"/>
  <c r="C15" i="1"/>
  <c r="F3" i="1"/>
  <c r="H3" i="1" s="1"/>
  <c r="J3" i="1" s="1"/>
  <c r="E3" i="1"/>
  <c r="G3" i="1" s="1"/>
  <c r="I3" i="1" s="1"/>
  <c r="F4" i="1"/>
  <c r="H4" i="1" s="1"/>
  <c r="J4" i="1" s="1"/>
  <c r="E4" i="1"/>
  <c r="G4" i="1" s="1"/>
  <c r="I4" i="1" s="1"/>
  <c r="F5" i="1"/>
  <c r="H5" i="1" s="1"/>
  <c r="J5" i="1" s="1"/>
  <c r="E5" i="1"/>
  <c r="G5" i="1" s="1"/>
  <c r="I5" i="1" s="1"/>
  <c r="F7" i="1"/>
  <c r="H7" i="1" s="1"/>
  <c r="J7" i="1" s="1"/>
  <c r="E7" i="1"/>
  <c r="G7" i="1" s="1"/>
  <c r="I7" i="1" s="1"/>
  <c r="F8" i="1"/>
  <c r="H8" i="1" s="1"/>
  <c r="J8" i="1" s="1"/>
  <c r="E8" i="1"/>
  <c r="G8" i="1" s="1"/>
  <c r="I8" i="1" s="1"/>
  <c r="F9" i="1"/>
  <c r="H9" i="1" s="1"/>
  <c r="J9" i="1" s="1"/>
  <c r="E9" i="1"/>
  <c r="G9" i="1" s="1"/>
  <c r="I9" i="1" s="1"/>
  <c r="F10" i="1"/>
  <c r="H10" i="1" s="1"/>
  <c r="J10" i="1" s="1"/>
  <c r="E10" i="1"/>
  <c r="G10" i="1" s="1"/>
  <c r="I10" i="1" s="1"/>
  <c r="F11" i="1"/>
  <c r="H11" i="1" s="1"/>
  <c r="J11" i="1" s="1"/>
  <c r="E11" i="1"/>
  <c r="G11" i="1" s="1"/>
  <c r="I11" i="1" s="1"/>
  <c r="E12" i="1"/>
  <c r="G12" i="1" s="1"/>
  <c r="I12" i="1" s="1"/>
  <c r="F12" i="1"/>
  <c r="H12" i="1" s="1"/>
  <c r="J12" i="1" s="1"/>
  <c r="F13" i="1"/>
  <c r="H13" i="1" s="1"/>
  <c r="J13" i="1" s="1"/>
  <c r="E13" i="1"/>
  <c r="G13" i="1" s="1"/>
  <c r="I13" i="1" s="1"/>
  <c r="F14" i="1"/>
  <c r="H14" i="1" s="1"/>
  <c r="J14" i="1" s="1"/>
  <c r="E14" i="1"/>
  <c r="G14" i="1" s="1"/>
  <c r="I14" i="1" s="1"/>
  <c r="E2" i="1" l="1"/>
  <c r="G2" i="1" s="1"/>
  <c r="I2" i="1" s="1"/>
  <c r="F2" i="1"/>
  <c r="H2" i="1" s="1"/>
  <c r="J2" i="1" s="1"/>
  <c r="D15" i="1"/>
  <c r="F15" i="1" l="1"/>
  <c r="E15" i="1"/>
  <c r="F16" i="1" l="1"/>
  <c r="H15" i="1"/>
  <c r="J15" i="1" s="1"/>
  <c r="E16" i="1"/>
  <c r="G15" i="1"/>
  <c r="I1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refreshOnLoa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<sst xmlns="http://schemas.openxmlformats.org/spreadsheetml/2006/main" count="56" uniqueCount="56">
  <si>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</si>
  <si>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</si>
  <si>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</si>
  <si>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</si>
  <si>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</si>
  <si>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</si>
  <si>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</si>
  <si>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</si>
  <si>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</si>
  <si>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</si>
  <si>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</si>
  <si>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</si>
  <si>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</si>
  <si>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</si>
  <si>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</si>
  <si>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</si>
  <si>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</si>
  <si>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</si>
  <si>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</si>
  <si>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</si>
  <si>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</si>
  <si>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</si>
  <si>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</si>
  <si>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</si>
  <si>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</si>
  <si>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</si>
  <si>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</si>
  <si>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</si>
  <si>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</si>
  <si>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</si>
  <si>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</si>
  <si>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</si>
  <si>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</si>
  <si>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</si>
  <si>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</si>
  <si>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</si>
  <si>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</si>
  <si>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</si>
  <si>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</si>
  <si>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</si>
  <si>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</si>
  <si>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Jan 2023</t>
  </si>
  <si>
    <t>Month</t>
  </si>
  <si>
    <t>Sales</t>
  </si>
  <si>
    <t>Ends</t>
  </si>
  <si>
    <t>Commissions</t>
  </si>
  <si>
    <t>Top 20%</t>
  </si>
  <si>
    <t>Bottom 80%</t>
  </si>
  <si>
    <t>Top 20% Deals</t>
  </si>
  <si>
    <t>Bottom 80% Deals</t>
  </si>
  <si>
    <t>MLS Sales in the past 12 months times 2 equals "Realtor Ends"</t>
  </si>
  <si>
    <t>8,500 Realtors with 20% of the Realtors doing 80% of The Business</t>
  </si>
  <si>
    <t>Gross Commission Avg Number Used $10,000 per end.</t>
  </si>
  <si>
    <t>8,500 Realtors with 80% of the Realtors doing 20% of The Business</t>
  </si>
  <si>
    <t>Top 20% Each/Month</t>
  </si>
  <si>
    <t>Bottom 80% Each/Month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</si>
</sst>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800]dddd\,\ mmmm\ dd\,\ yyyy"/>
    <numFmt numFmtId="167" formatCode="_(&quot;$&quot;* #,##0_);_(&quot;$&quot;* \(#,##0\);_(&quot;$&quot;* &quot;-&quot;??_);_(@_)"/>
  </numFmts>
  <fonts count="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NumberFormat="1"/>
    <xf numFmtId="167" fontId="0" fillId="0" borderId="0" xfId="2" applyNumberFormat="1" applyFont="1" applyAlignment="1">
      <alignment horizontal="center" vertical="center"/>
    </xf>
    <xf numFmtId="167" fontId="0" fillId="0" borderId="0" xfId="0" applyNumberFormat="1"/>
    <xf numFmtId="44" fontId="0" fillId="0" borderId="0" xfId="0" applyNumberFormat="1"/>
    <xf numFmtId="2" fontId="0" fillId="0" borderId="0" xfId="1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9" fontId="4" fillId="2" borderId="0" xfId="0" applyNumberFormat="1" applyFont="1" applyFill="1"/>
    <xf numFmtId="2" fontId="4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167" fontId="2" fillId="2" borderId="0" xfId="2" applyNumberFormat="1" applyFont="1" applyFill="1" applyAlignment="1">
      <alignment horizontal="center" vertical="center"/>
    </xf>
    <xf numFmtId="167" fontId="2" fillId="2" borderId="0" xfId="0" applyNumberFormat="1" applyFont="1" applyFill="1"/>
    <xf numFmtId="44" fontId="2" fillId="2" borderId="0" xfId="0" applyNumberFormat="1" applyFont="1" applyFill="1"/>
    <xf numFmtId="2" fontId="2" fillId="2" borderId="0" xfId="1" applyNumberFormat="1" applyFont="1" applyFill="1" applyAlignment="1">
      <alignment horizontal="center" vertical="center"/>
    </xf>
    <xf numFmtId="9" fontId="0" fillId="0" borderId="0" xfId="3" applyFont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'CloseDateSpeedOfMarket'!$D$2:$D$39</c:f>
              <c:numCache>
                <c:formatCode>General</c:formatCode>
                <c:ptCount val="38"/>
                <c:pt idx="0">
                  <c:v>39</c:v>
                </c:pt>
                <c:pt idx="1">
                  <c:v>62</c:v>
                </c:pt>
                <c:pt idx="2">
                  <c:v>78</c:v>
                </c:pt>
                <c:pt idx="3">
                  <c:v>90</c:v>
                </c:pt>
                <c:pt idx="4">
                  <c:v>101</c:v>
                </c:pt>
                <c:pt idx="5">
                  <c:v>105</c:v>
                </c:pt>
                <c:pt idx="6">
                  <c:v>85</c:v>
                </c:pt>
                <c:pt idx="7">
                  <c:v>88</c:v>
                </c:pt>
                <c:pt idx="8">
                  <c:v>81</c:v>
                </c:pt>
                <c:pt idx="9">
                  <c:v>70</c:v>
                </c:pt>
                <c:pt idx="10">
                  <c:v>59</c:v>
                </c:pt>
                <c:pt idx="11">
                  <c:v>44</c:v>
                </c:pt>
                <c:pt idx="12">
                  <c:v>53</c:v>
                </c:pt>
                <c:pt idx="13">
                  <c:v>74</c:v>
                </c:pt>
                <c:pt idx="14">
                  <c:v>86</c:v>
                </c:pt>
                <c:pt idx="15">
                  <c:v>96</c:v>
                </c:pt>
                <c:pt idx="16">
                  <c:v>100</c:v>
                </c:pt>
                <c:pt idx="17">
                  <c:v>91</c:v>
                </c:pt>
                <c:pt idx="18">
                  <c:v>77</c:v>
                </c:pt>
                <c:pt idx="19">
                  <c:v>70</c:v>
                </c:pt>
                <c:pt idx="20">
                  <c:v>67</c:v>
                </c:pt>
                <c:pt idx="21">
                  <c:v>70</c:v>
                </c:pt>
                <c:pt idx="22">
                  <c:v>60</c:v>
                </c:pt>
                <c:pt idx="23">
                  <c:v>43</c:v>
                </c:pt>
                <c:pt idx="24">
                  <c:v>47</c:v>
                </c:pt>
                <c:pt idx="25">
                  <c:v>61</c:v>
                </c:pt>
                <c:pt idx="26">
                  <c:v>70</c:v>
                </c:pt>
                <c:pt idx="27">
                  <c:v>74</c:v>
                </c:pt>
                <c:pt idx="28">
                  <c:v>83</c:v>
                </c:pt>
                <c:pt idx="29">
                  <c:v>76</c:v>
                </c:pt>
                <c:pt idx="30">
                  <c:v>68</c:v>
                </c:pt>
                <c:pt idx="31">
                  <c:v>64</c:v>
                </c:pt>
                <c:pt idx="32">
                  <c:v>57</c:v>
                </c:pt>
                <c:pt idx="33">
                  <c:v>61</c:v>
                </c:pt>
                <c:pt idx="34">
                  <c:v>52</c:v>
                </c:pt>
                <c:pt idx="35">
                  <c:v>36</c:v>
                </c:pt>
                <c:pt idx="36">
                  <c:v>40</c:v>
                </c:pt>
                <c:pt idx="37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'CloseDateSpeedOfMarket'!$B$2:$B$39</c:f>
              <c:numCache>
                <c:formatCode>General</c:formatCode>
                <c:ptCount val="38"/>
                <c:pt idx="0">
                  <c:v>1198</c:v>
                </c:pt>
                <c:pt idx="1">
                  <c:v>1737</c:v>
                </c:pt>
                <c:pt idx="2">
                  <c:v>2424</c:v>
                </c:pt>
                <c:pt idx="3">
                  <c:v>2686</c:v>
                </c:pt>
                <c:pt idx="4">
                  <c:v>3117</c:v>
                </c:pt>
                <c:pt idx="5">
                  <c:v>3140</c:v>
                </c:pt>
                <c:pt idx="6">
                  <c:v>2644</c:v>
                </c:pt>
                <c:pt idx="7">
                  <c:v>2716</c:v>
                </c:pt>
                <c:pt idx="8">
                  <c:v>2430</c:v>
                </c:pt>
                <c:pt idx="9">
                  <c:v>2169</c:v>
                </c:pt>
                <c:pt idx="10">
                  <c:v>1783</c:v>
                </c:pt>
                <c:pt idx="11">
                  <c:v>1363</c:v>
                </c:pt>
                <c:pt idx="12">
                  <c:v>1648</c:v>
                </c:pt>
                <c:pt idx="13">
                  <c:v>2132</c:v>
                </c:pt>
                <c:pt idx="14">
                  <c:v>2658</c:v>
                </c:pt>
                <c:pt idx="15">
                  <c:v>2875</c:v>
                </c:pt>
                <c:pt idx="16">
                  <c:v>3090</c:v>
                </c:pt>
                <c:pt idx="17">
                  <c:v>2737</c:v>
                </c:pt>
                <c:pt idx="18">
                  <c:v>2374</c:v>
                </c:pt>
                <c:pt idx="19">
                  <c:v>2183</c:v>
                </c:pt>
                <c:pt idx="20">
                  <c:v>1999</c:v>
                </c:pt>
                <c:pt idx="21">
                  <c:v>2167</c:v>
                </c:pt>
                <c:pt idx="22">
                  <c:v>1793</c:v>
                </c:pt>
                <c:pt idx="23">
                  <c:v>1318</c:v>
                </c:pt>
                <c:pt idx="24">
                  <c:v>1449</c:v>
                </c:pt>
                <c:pt idx="25">
                  <c:v>1718</c:v>
                </c:pt>
                <c:pt idx="26">
                  <c:v>2156</c:v>
                </c:pt>
                <c:pt idx="27">
                  <c:v>2230</c:v>
                </c:pt>
                <c:pt idx="28">
                  <c:v>2559</c:v>
                </c:pt>
                <c:pt idx="29">
                  <c:v>2284</c:v>
                </c:pt>
                <c:pt idx="30">
                  <c:v>2096</c:v>
                </c:pt>
                <c:pt idx="31">
                  <c:v>1986</c:v>
                </c:pt>
                <c:pt idx="32">
                  <c:v>1717</c:v>
                </c:pt>
                <c:pt idx="33">
                  <c:v>1879</c:v>
                </c:pt>
                <c:pt idx="34">
                  <c:v>1547</c:v>
                </c:pt>
                <c:pt idx="35">
                  <c:v>1124</c:v>
                </c:pt>
                <c:pt idx="36">
                  <c:v>1233</c:v>
                </c:pt>
                <c:pt idx="37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9" tableType="queryTable" totalsRowShown="0">
  <autoFilter ref="A1:D39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R41"/>
  <sheetViews>
    <sheetView tabSelected="1" workbookViewId="0">
      <selection activeCell="Q7" sqref="Q7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4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3" t="s">
        <v>41</v>
      </c>
      <c r="B2" s="1">
        <v>1198</v>
      </c>
      <c r="C2" s="1">
        <v>31</v>
      </c>
      <c r="D2" s="1">
        <v>39</v>
      </c>
    </row>
    <row r="3" spans="1:4" x14ac:dyDescent="0.3">
      <c r="A3" s="3" t="s">
        <v>29</v>
      </c>
      <c r="B3" s="1">
        <v>1737</v>
      </c>
      <c r="C3" s="1">
        <v>28</v>
      </c>
      <c r="D3" s="1">
        <v>62</v>
      </c>
    </row>
    <row r="4" spans="1:4" x14ac:dyDescent="0.3">
      <c r="A4" s="3" t="s">
        <v>30</v>
      </c>
      <c r="B4" s="1">
        <v>2424</v>
      </c>
      <c r="C4" s="1">
        <v>31</v>
      </c>
      <c r="D4" s="1">
        <v>78</v>
      </c>
    </row>
    <row r="5" spans="1:4" x14ac:dyDescent="0.3">
      <c r="A5" s="3" t="s">
        <v>31</v>
      </c>
      <c r="B5" s="1">
        <v>2686</v>
      </c>
      <c r="C5" s="1">
        <v>30</v>
      </c>
      <c r="D5" s="1">
        <v>90</v>
      </c>
    </row>
    <row r="6" spans="1:4" x14ac:dyDescent="0.3">
      <c r="A6" s="3" t="s">
        <v>32</v>
      </c>
      <c r="B6" s="1">
        <v>3117</v>
      </c>
      <c r="C6" s="1">
        <v>31</v>
      </c>
      <c r="D6" s="1">
        <v>101</v>
      </c>
    </row>
    <row r="7" spans="1:4" x14ac:dyDescent="0.3">
      <c r="A7" s="3" t="s">
        <v>33</v>
      </c>
      <c r="B7" s="1">
        <v>3140</v>
      </c>
      <c r="C7" s="1">
        <v>30</v>
      </c>
      <c r="D7" s="1">
        <v>105</v>
      </c>
    </row>
    <row r="8" spans="1:4" x14ac:dyDescent="0.3">
      <c r="A8" s="3" t="s">
        <v>34</v>
      </c>
      <c r="B8" s="1">
        <v>2644</v>
      </c>
      <c r="C8" s="1">
        <v>31</v>
      </c>
      <c r="D8" s="1">
        <v>85</v>
      </c>
    </row>
    <row r="9" spans="1:4" x14ac:dyDescent="0.3">
      <c r="A9" s="3" t="s">
        <v>35</v>
      </c>
      <c r="B9" s="1">
        <v>2716</v>
      </c>
      <c r="C9" s="1">
        <v>31</v>
      </c>
      <c r="D9" s="1">
        <v>88</v>
      </c>
    </row>
    <row r="10" spans="1:4" x14ac:dyDescent="0.3">
      <c r="A10" s="3" t="s">
        <v>36</v>
      </c>
      <c r="B10" s="1">
        <v>2430</v>
      </c>
      <c r="C10" s="1">
        <v>30</v>
      </c>
      <c r="D10" s="1">
        <v>81</v>
      </c>
    </row>
    <row r="11" spans="1:4" x14ac:dyDescent="0.3">
      <c r="A11" s="3" t="s">
        <v>37</v>
      </c>
      <c r="B11" s="1">
        <v>2169</v>
      </c>
      <c r="C11" s="1">
        <v>31</v>
      </c>
      <c r="D11" s="1">
        <v>70</v>
      </c>
    </row>
    <row r="12" spans="1:4" x14ac:dyDescent="0.3">
      <c r="A12" s="3" t="s">
        <v>38</v>
      </c>
      <c r="B12" s="1">
        <v>1783</v>
      </c>
      <c r="C12" s="1">
        <v>30</v>
      </c>
      <c r="D12" s="1">
        <v>59</v>
      </c>
    </row>
    <row r="13" spans="1:4" x14ac:dyDescent="0.3">
      <c r="A13" s="3" t="s">
        <v>39</v>
      </c>
      <c r="B13" s="1">
        <v>1363</v>
      </c>
      <c r="C13" s="1">
        <v>31</v>
      </c>
      <c r="D13" s="1">
        <v>44</v>
      </c>
    </row>
    <row r="14" spans="1:4" x14ac:dyDescent="0.3">
      <c r="A14" s="3" t="s">
        <v>40</v>
      </c>
      <c r="B14" s="1">
        <v>1648</v>
      </c>
      <c r="C14" s="1">
        <v>31</v>
      </c>
      <c r="D14" s="1">
        <v>53</v>
      </c>
    </row>
    <row r="15" spans="1:4" x14ac:dyDescent="0.3">
      <c r="A15" s="3" t="s">
        <v>4</v>
      </c>
      <c r="B15" s="1">
        <v>2132</v>
      </c>
      <c r="C15" s="1">
        <v>29</v>
      </c>
      <c r="D15" s="1">
        <v>74</v>
      </c>
    </row>
    <row r="16" spans="1:4" x14ac:dyDescent="0.3">
      <c r="A16" s="3" t="s">
        <v>5</v>
      </c>
      <c r="B16" s="1">
        <v>2658</v>
      </c>
      <c r="C16" s="1">
        <v>31</v>
      </c>
      <c r="D16" s="1">
        <v>86</v>
      </c>
    </row>
    <row r="17" spans="1:18" x14ac:dyDescent="0.3">
      <c r="A17" s="3" t="s">
        <v>6</v>
      </c>
      <c r="B17" s="1">
        <v>2875</v>
      </c>
      <c r="C17" s="1">
        <v>30</v>
      </c>
      <c r="D17" s="1">
        <v>96</v>
      </c>
    </row>
    <row r="18" spans="1:18" x14ac:dyDescent="0.3">
      <c r="A18" s="3" t="s">
        <v>7</v>
      </c>
      <c r="B18" s="1">
        <v>3090</v>
      </c>
      <c r="C18" s="1">
        <v>31</v>
      </c>
      <c r="D18" s="1">
        <v>100</v>
      </c>
    </row>
    <row r="19" spans="1:18" x14ac:dyDescent="0.3">
      <c r="A19" s="3" t="s">
        <v>8</v>
      </c>
      <c r="B19" s="1">
        <v>2737</v>
      </c>
      <c r="C19" s="1">
        <v>30</v>
      </c>
      <c r="D19" s="1">
        <v>91</v>
      </c>
    </row>
    <row r="20" spans="1:18" x14ac:dyDescent="0.3">
      <c r="A20" s="3" t="s">
        <v>9</v>
      </c>
      <c r="B20" s="1">
        <v>2374</v>
      </c>
      <c r="C20" s="1">
        <v>31</v>
      </c>
      <c r="D20" s="1">
        <v>77</v>
      </c>
    </row>
    <row r="21" spans="1:18" x14ac:dyDescent="0.3">
      <c r="A21" s="3" t="s">
        <v>10</v>
      </c>
      <c r="B21" s="1">
        <v>2183</v>
      </c>
      <c r="C21" s="1">
        <v>31</v>
      </c>
      <c r="D21" s="1">
        <v>70</v>
      </c>
    </row>
    <row r="22" spans="1:18" x14ac:dyDescent="0.3">
      <c r="A22" s="3" t="s">
        <v>11</v>
      </c>
      <c r="B22" s="1">
        <v>1999</v>
      </c>
      <c r="C22" s="1">
        <v>30</v>
      </c>
      <c r="D22" s="1">
        <v>67</v>
      </c>
    </row>
    <row r="23" spans="1:18" x14ac:dyDescent="0.3">
      <c r="A23" s="3" t="s">
        <v>12</v>
      </c>
      <c r="B23" s="1">
        <v>2167</v>
      </c>
      <c r="C23" s="1">
        <v>31</v>
      </c>
      <c r="D23" s="1">
        <v>70</v>
      </c>
    </row>
    <row r="24" spans="1:18" x14ac:dyDescent="0.3">
      <c r="A24" s="3" t="s">
        <v>13</v>
      </c>
      <c r="B24" s="1">
        <v>1793</v>
      </c>
      <c r="C24" s="1">
        <v>30</v>
      </c>
      <c r="D24" s="1">
        <v>60</v>
      </c>
    </row>
    <row r="25" spans="1:18" x14ac:dyDescent="0.3">
      <c r="A25" s="3" t="s">
        <v>14</v>
      </c>
      <c r="B25" s="1">
        <v>1318</v>
      </c>
      <c r="C25" s="1">
        <v>31</v>
      </c>
      <c r="D25" s="1">
        <v>43</v>
      </c>
      <c r="R25">
        <f>28*49</f>
        <v>1372</v>
      </c>
    </row>
    <row r="26" spans="1:18" x14ac:dyDescent="0.3">
      <c r="A26" s="3" t="s">
        <v>15</v>
      </c>
      <c r="B26" s="1">
        <v>1449</v>
      </c>
      <c r="C26" s="1">
        <v>31</v>
      </c>
      <c r="D26" s="1">
        <v>47</v>
      </c>
    </row>
    <row r="27" spans="1:18" x14ac:dyDescent="0.3">
      <c r="A27" s="3" t="s">
        <v>16</v>
      </c>
      <c r="B27" s="1">
        <v>1718</v>
      </c>
      <c r="C27" s="1">
        <v>28</v>
      </c>
      <c r="D27" s="1">
        <v>61</v>
      </c>
    </row>
    <row r="28" spans="1:18" x14ac:dyDescent="0.3">
      <c r="A28" s="3" t="s">
        <v>17</v>
      </c>
      <c r="B28" s="1">
        <v>2156</v>
      </c>
      <c r="C28" s="1">
        <v>31</v>
      </c>
      <c r="D28" s="1">
        <v>70</v>
      </c>
    </row>
    <row r="29" spans="1:18" x14ac:dyDescent="0.3">
      <c r="A29" s="3" t="s">
        <v>18</v>
      </c>
      <c r="B29" s="1">
        <v>2230</v>
      </c>
      <c r="C29" s="1">
        <v>30</v>
      </c>
      <c r="D29" s="1">
        <v>74</v>
      </c>
    </row>
    <row r="30" spans="1:18" x14ac:dyDescent="0.3">
      <c r="A30" s="3" t="s">
        <v>19</v>
      </c>
      <c r="B30" s="1">
        <v>2559</v>
      </c>
      <c r="C30" s="1">
        <v>31</v>
      </c>
      <c r="D30" s="1">
        <v>83</v>
      </c>
    </row>
    <row r="31" spans="1:18" x14ac:dyDescent="0.3">
      <c r="A31" s="3" t="s">
        <v>20</v>
      </c>
      <c r="B31" s="1">
        <v>2284</v>
      </c>
      <c r="C31" s="1">
        <v>30</v>
      </c>
      <c r="D31" s="1">
        <v>76</v>
      </c>
    </row>
    <row r="32" spans="1:18" x14ac:dyDescent="0.3">
      <c r="A32" s="3" t="s">
        <v>21</v>
      </c>
      <c r="B32" s="1">
        <v>2096</v>
      </c>
      <c r="C32" s="1">
        <v>31</v>
      </c>
      <c r="D32" s="1">
        <v>68</v>
      </c>
    </row>
    <row r="33" spans="1:4" x14ac:dyDescent="0.3">
      <c r="A33" s="3" t="s">
        <v>22</v>
      </c>
      <c r="B33" s="1">
        <v>1986</v>
      </c>
      <c r="C33" s="1">
        <v>31</v>
      </c>
      <c r="D33" s="1">
        <v>64</v>
      </c>
    </row>
    <row r="34" spans="1:4" x14ac:dyDescent="0.3">
      <c r="A34" s="3" t="s">
        <v>23</v>
      </c>
      <c r="B34" s="1">
        <v>1717</v>
      </c>
      <c r="C34" s="1">
        <v>30</v>
      </c>
      <c r="D34" s="1">
        <v>57</v>
      </c>
    </row>
    <row r="35" spans="1:4" x14ac:dyDescent="0.3">
      <c r="A35" s="3" t="s">
        <v>24</v>
      </c>
      <c r="B35" s="1">
        <v>1879</v>
      </c>
      <c r="C35" s="1">
        <v>31</v>
      </c>
      <c r="D35" s="1">
        <v>61</v>
      </c>
    </row>
    <row r="36" spans="1:4" x14ac:dyDescent="0.3">
      <c r="A36" s="3" t="s">
        <v>25</v>
      </c>
      <c r="B36" s="1">
        <v>1547</v>
      </c>
      <c r="C36" s="1">
        <v>30</v>
      </c>
      <c r="D36" s="1">
        <v>52</v>
      </c>
    </row>
    <row r="37" spans="1:4" x14ac:dyDescent="0.3">
      <c r="A37" s="3" t="s">
        <v>26</v>
      </c>
      <c r="B37" s="1">
        <v>1124</v>
      </c>
      <c r="C37" s="1">
        <v>31</v>
      </c>
      <c r="D37" s="1">
        <v>36</v>
      </c>
    </row>
    <row r="38" spans="1:4" x14ac:dyDescent="0.3">
      <c r="A38" s="3" t="s">
        <v>27</v>
      </c>
      <c r="B38" s="1">
        <v>1233</v>
      </c>
      <c r="C38" s="1">
        <v>31</v>
      </c>
      <c r="D38" s="1">
        <v>40</v>
      </c>
    </row>
    <row r="39" spans="1:4" x14ac:dyDescent="0.3">
      <c r="A39" s="3" t="s">
        <v>28</v>
      </c>
      <c r="B39" s="1">
        <v>781</v>
      </c>
      <c r="C39" s="1">
        <v>16</v>
      </c>
      <c r="D39" s="1">
        <v>49</v>
      </c>
    </row>
    <row r="41" spans="1:4" x14ac:dyDescent="0.3">
      <c r="A41" s="2">
        <f ca="1">NOW()</f>
        <v>46069.632922453704</v>
      </c>
      <c r="B41" s="2"/>
    </row>
  </sheetData>
  <mergeCells count="1">
    <mergeCell ref="A41:B41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:J20"/>
  <sheetViews>
    <sheetView workbookViewId="0">
      <selection activeCell="H6" sqref="H6"/>
    </sheetView>
  </sheetViews>
  <sheetFormatPr defaultRowHeight="16.3" x14ac:dyDescent="0.3"/>
  <cols>
    <col min="1" max="1" width="10.21875" customWidth="1"/>
    <col min="2" max="3" width="6.44140625" style="1" bestFit="1" customWidth="1"/>
    <col min="4" max="4" width="13.5546875" style="1" bestFit="1" customWidth="1"/>
    <col min="5" max="5" width="13.5546875" bestFit="1" customWidth="1"/>
    <col min="6" max="6" width="12.88671875" bestFit="1" customWidth="1"/>
    <col min="7" max="7" width="22" bestFit="1" customWidth="1"/>
    <col min="8" max="8" width="25.77734375" bestFit="1" customWidth="1"/>
    <col min="9" max="9" width="15.109375" style="14" bestFit="1" customWidth="1"/>
    <col min="10" max="10" width="18.88671875" style="14" bestFit="1" customWidth="1"/>
  </cols>
  <sheetData>
    <row r="1" spans="1:10" ht="19.05" x14ac:dyDescent="0.35">
      <c r="A1" s="10" t="s">
        <v>42</v>
      </c>
      <c r="B1" s="11" t="s">
        <v>43</v>
      </c>
      <c r="C1" s="11" t="s">
        <v>44</v>
      </c>
      <c r="D1" s="11" t="s">
        <v>45</v>
      </c>
      <c r="E1" s="12" t="s">
        <v>46</v>
      </c>
      <c r="F1" s="12" t="s">
        <v>47</v>
      </c>
      <c r="G1" s="11" t="s">
        <v>54</v>
      </c>
      <c r="H1" s="11" t="s">
        <v>55</v>
      </c>
      <c r="I1" s="13" t="s">
        <v>48</v>
      </c>
      <c r="J1" s="13" t="s">
        <v>49</v>
      </c>
    </row>
    <row r="2" spans="1:10" x14ac:dyDescent="0.3">
      <c r="A2" t="str">
        <f>'CloseDateSpeedOfMarket'!A26</f>
        <v>Jan 2025</v>
      </c>
      <c r="B2" s="1">
        <f>'CloseDateSpeedOfMarket'!B26</f>
        <v>1449</v>
      </c>
      <c r="C2" s="1">
        <f t="shared" ref="C2:C15" si="0">B2*2</f>
        <v>2898</v>
      </c>
      <c r="D2" s="4">
        <f>C2*10000</f>
        <v>28980000</v>
      </c>
      <c r="E2" s="5">
        <f>D2*80%</f>
        <v>23184000</v>
      </c>
      <c r="F2" s="5">
        <f>D2*20%</f>
        <v>5796000</v>
      </c>
      <c r="G2" s="6">
        <f>E2/(8500*20%)</f>
        <v>13637.64705882353</v>
      </c>
      <c r="H2" s="6">
        <f>F2/(8500*80%)</f>
        <v>852.35294117647061</v>
      </c>
      <c r="I2" s="7">
        <f>G2/10000</f>
        <v>1.363764705882353</v>
      </c>
      <c r="J2" s="7">
        <f>H2/10000</f>
        <v>8.5235294117647062E-2</v>
      </c>
    </row>
    <row r="3" spans="1:10" x14ac:dyDescent="0.3">
      <c r="A3" t="str">
        <f>'CloseDateSpeedOfMarket'!A27</f>
        <v>Feb 2025</v>
      </c>
      <c r="B3" s="1">
        <f>'CloseDateSpeedOfMarket'!B27</f>
        <v>1718</v>
      </c>
      <c r="C3" s="1">
        <f t="shared" si="0"/>
        <v>3436</v>
      </c>
      <c r="D3" s="4">
        <f t="shared" ref="D3:D15" si="1">C3*10000</f>
        <v>34360000</v>
      </c>
      <c r="E3" s="5">
        <f t="shared" ref="E3:E15" si="2">D3*80%</f>
        <v>27488000</v>
      </c>
      <c r="F3" s="5">
        <f t="shared" ref="F3:F15" si="3">D3*20%</f>
        <v>6872000</v>
      </c>
      <c r="G3" s="6">
        <f t="shared" ref="G3:G16" si="4">E3/(8500*20%)</f>
        <v>16169.411764705883</v>
      </c>
      <c r="H3" s="6">
        <f t="shared" ref="H3:H15" si="5">F3/(8500*80%)</f>
        <v>1010.5882352941177</v>
      </c>
      <c r="I3" s="7">
        <f t="shared" ref="I3:I16" si="6">G3/10000</f>
        <v>1.6169411764705883</v>
      </c>
      <c r="J3" s="7">
        <f t="shared" ref="J3:J15" si="7">H3/10000</f>
        <v>0.10105882352941177</v>
      </c>
    </row>
    <row r="4" spans="1:10" x14ac:dyDescent="0.3">
      <c r="A4" t="str">
        <f>'CloseDateSpeedOfMarket'!A28</f>
        <v>Mar 2025</v>
      </c>
      <c r="B4" s="1">
        <f>'CloseDateSpeedOfMarket'!B28</f>
        <v>2156</v>
      </c>
      <c r="C4" s="1">
        <f t="shared" si="0"/>
        <v>4312</v>
      </c>
      <c r="D4" s="4">
        <f t="shared" si="1"/>
        <v>43120000</v>
      </c>
      <c r="E4" s="5">
        <f t="shared" si="2"/>
        <v>34496000</v>
      </c>
      <c r="F4" s="5">
        <f t="shared" si="3"/>
        <v>8624000</v>
      </c>
      <c r="G4" s="6">
        <f t="shared" si="4"/>
        <v>20291.764705882353</v>
      </c>
      <c r="H4" s="6">
        <f t="shared" si="5"/>
        <v>1268.2352941176471</v>
      </c>
      <c r="I4" s="7">
        <f t="shared" si="6"/>
        <v>2.0291764705882351</v>
      </c>
      <c r="J4" s="7">
        <f t="shared" si="7"/>
        <v>0.1268235294117647</v>
      </c>
    </row>
    <row r="5" spans="1:10" x14ac:dyDescent="0.3">
      <c r="A5" t="str">
        <f>'CloseDateSpeedOfMarket'!A29</f>
        <v>Apr 2025</v>
      </c>
      <c r="B5" s="1">
        <f>'CloseDateSpeedOfMarket'!B29</f>
        <v>2230</v>
      </c>
      <c r="C5" s="1">
        <f t="shared" si="0"/>
        <v>4460</v>
      </c>
      <c r="D5" s="4">
        <f t="shared" si="1"/>
        <v>44600000</v>
      </c>
      <c r="E5" s="5">
        <f t="shared" si="2"/>
        <v>35680000</v>
      </c>
      <c r="F5" s="5">
        <f t="shared" si="3"/>
        <v>8920000</v>
      </c>
      <c r="G5" s="6">
        <f t="shared" si="4"/>
        <v>20988.235294117647</v>
      </c>
      <c r="H5" s="6">
        <f t="shared" si="5"/>
        <v>1311.7647058823529</v>
      </c>
      <c r="I5" s="7">
        <f t="shared" si="6"/>
        <v>2.0988235294117645</v>
      </c>
      <c r="J5" s="7">
        <f t="shared" si="7"/>
        <v>0.13117647058823528</v>
      </c>
    </row>
    <row r="6" spans="1:10" x14ac:dyDescent="0.3">
      <c r="A6" t="str">
        <f>'CloseDateSpeedOfMarket'!A30</f>
        <v>May 2025</v>
      </c>
      <c r="B6" s="1">
        <f>'CloseDateSpeedOfMarket'!B30</f>
        <v>2559</v>
      </c>
      <c r="C6" s="1">
        <f t="shared" si="0"/>
        <v>5118</v>
      </c>
      <c r="D6" s="4">
        <f t="shared" si="1"/>
        <v>51180000</v>
      </c>
      <c r="E6" s="5">
        <f t="shared" si="2"/>
        <v>40944000</v>
      </c>
      <c r="F6" s="5">
        <f t="shared" si="3"/>
        <v>10236000</v>
      </c>
      <c r="G6" s="6">
        <f t="shared" si="4"/>
        <v>24084.705882352941</v>
      </c>
      <c r="H6" s="6">
        <f t="shared" si="5"/>
        <v>1505.2941176470588</v>
      </c>
      <c r="I6" s="7">
        <f t="shared" si="6"/>
        <v>2.4084705882352941</v>
      </c>
      <c r="J6" s="7">
        <f t="shared" si="7"/>
        <v>0.15052941176470588</v>
      </c>
    </row>
    <row r="7" spans="1:10" x14ac:dyDescent="0.3">
      <c r="A7" t="str">
        <f>'CloseDateSpeedOfMarket'!A31</f>
        <v>Jun 2025</v>
      </c>
      <c r="B7" s="1">
        <f>'CloseDateSpeedOfMarket'!B31</f>
        <v>2284</v>
      </c>
      <c r="C7" s="1">
        <f t="shared" si="0"/>
        <v>4568</v>
      </c>
      <c r="D7" s="4">
        <f t="shared" si="1"/>
        <v>45680000</v>
      </c>
      <c r="E7" s="5">
        <f t="shared" si="2"/>
        <v>36544000</v>
      </c>
      <c r="F7" s="5">
        <f t="shared" si="3"/>
        <v>9136000</v>
      </c>
      <c r="G7" s="6">
        <f t="shared" si="4"/>
        <v>21496.470588235294</v>
      </c>
      <c r="H7" s="6">
        <f t="shared" si="5"/>
        <v>1343.5294117647059</v>
      </c>
      <c r="I7" s="7">
        <f t="shared" si="6"/>
        <v>2.1496470588235295</v>
      </c>
      <c r="J7" s="7">
        <f t="shared" si="7"/>
        <v>0.13435294117647059</v>
      </c>
    </row>
    <row r="8" spans="1:10" x14ac:dyDescent="0.3">
      <c r="A8" t="str">
        <f>'CloseDateSpeedOfMarket'!A32</f>
        <v>Jul 2025</v>
      </c>
      <c r="B8" s="1">
        <f>'CloseDateSpeedOfMarket'!B32</f>
        <v>2096</v>
      </c>
      <c r="C8" s="1">
        <f t="shared" si="0"/>
        <v>4192</v>
      </c>
      <c r="D8" s="4">
        <f t="shared" si="1"/>
        <v>41920000</v>
      </c>
      <c r="E8" s="5">
        <f t="shared" si="2"/>
        <v>33536000</v>
      </c>
      <c r="F8" s="5">
        <f t="shared" si="3"/>
        <v>8384000</v>
      </c>
      <c r="G8" s="6">
        <f t="shared" si="4"/>
        <v>19727.058823529413</v>
      </c>
      <c r="H8" s="6">
        <f t="shared" si="5"/>
        <v>1232.9411764705883</v>
      </c>
      <c r="I8" s="7">
        <f t="shared" si="6"/>
        <v>1.9727058823529413</v>
      </c>
      <c r="J8" s="7">
        <f t="shared" si="7"/>
        <v>0.12329411764705883</v>
      </c>
    </row>
    <row r="9" spans="1:10" x14ac:dyDescent="0.3">
      <c r="A9" t="str">
        <f>'CloseDateSpeedOfMarket'!A33</f>
        <v>Aug 2025</v>
      </c>
      <c r="B9" s="1">
        <f>'CloseDateSpeedOfMarket'!B33</f>
        <v>1986</v>
      </c>
      <c r="C9" s="1">
        <f t="shared" si="0"/>
        <v>3972</v>
      </c>
      <c r="D9" s="4">
        <f t="shared" si="1"/>
        <v>39720000</v>
      </c>
      <c r="E9" s="5">
        <f t="shared" si="2"/>
        <v>31776000</v>
      </c>
      <c r="F9" s="5">
        <f t="shared" si="3"/>
        <v>7944000</v>
      </c>
      <c r="G9" s="6">
        <f t="shared" si="4"/>
        <v>18691.764705882353</v>
      </c>
      <c r="H9" s="6">
        <f t="shared" si="5"/>
        <v>1168.2352941176471</v>
      </c>
      <c r="I9" s="7">
        <f t="shared" si="6"/>
        <v>1.8691764705882352</v>
      </c>
      <c r="J9" s="7">
        <f t="shared" si="7"/>
        <v>0.1168235294117647</v>
      </c>
    </row>
    <row r="10" spans="1:10" x14ac:dyDescent="0.3">
      <c r="A10" t="str">
        <f>'CloseDateSpeedOfMarket'!A34</f>
        <v>Sep 2025</v>
      </c>
      <c r="B10" s="1">
        <f>'CloseDateSpeedOfMarket'!B34</f>
        <v>1717</v>
      </c>
      <c r="C10" s="1">
        <f t="shared" si="0"/>
        <v>3434</v>
      </c>
      <c r="D10" s="4">
        <f t="shared" si="1"/>
        <v>34340000</v>
      </c>
      <c r="E10" s="5">
        <f t="shared" si="2"/>
        <v>27472000</v>
      </c>
      <c r="F10" s="5">
        <f t="shared" si="3"/>
        <v>6868000</v>
      </c>
      <c r="G10" s="6">
        <f t="shared" si="4"/>
        <v>16160</v>
      </c>
      <c r="H10" s="6">
        <f t="shared" si="5"/>
        <v>1010</v>
      </c>
      <c r="I10" s="7">
        <f t="shared" si="6"/>
        <v>1.6160000000000001</v>
      </c>
      <c r="J10" s="7">
        <f t="shared" si="7"/>
        <v>0.10100000000000001</v>
      </c>
    </row>
    <row r="11" spans="1:10" x14ac:dyDescent="0.3">
      <c r="A11" t="str">
        <f>'CloseDateSpeedOfMarket'!A35</f>
        <v>Oct 2025</v>
      </c>
      <c r="B11" s="1">
        <f>'CloseDateSpeedOfMarket'!B35</f>
        <v>1879</v>
      </c>
      <c r="C11" s="1">
        <f t="shared" si="0"/>
        <v>3758</v>
      </c>
      <c r="D11" s="4">
        <f t="shared" si="1"/>
        <v>37580000</v>
      </c>
      <c r="E11" s="5">
        <f t="shared" si="2"/>
        <v>30064000</v>
      </c>
      <c r="F11" s="5">
        <f t="shared" si="3"/>
        <v>7516000</v>
      </c>
      <c r="G11" s="6">
        <f t="shared" si="4"/>
        <v>17684.705882352941</v>
      </c>
      <c r="H11" s="6">
        <f t="shared" si="5"/>
        <v>1105.2941176470588</v>
      </c>
      <c r="I11" s="7">
        <f t="shared" si="6"/>
        <v>1.768470588235294</v>
      </c>
      <c r="J11" s="7">
        <f t="shared" si="7"/>
        <v>0.11052941176470588</v>
      </c>
    </row>
    <row r="12" spans="1:10" x14ac:dyDescent="0.3">
      <c r="A12" t="str">
        <f>'CloseDateSpeedOfMarket'!A36</f>
        <v>Nov 2025</v>
      </c>
      <c r="B12" s="1">
        <f>'CloseDateSpeedOfMarket'!B36</f>
        <v>1547</v>
      </c>
      <c r="C12" s="1">
        <f t="shared" si="0"/>
        <v>3094</v>
      </c>
      <c r="D12" s="4">
        <f t="shared" si="1"/>
        <v>30940000</v>
      </c>
      <c r="E12" s="5">
        <f t="shared" si="2"/>
        <v>24752000</v>
      </c>
      <c r="F12" s="5">
        <f t="shared" si="3"/>
        <v>6188000</v>
      </c>
      <c r="G12" s="6">
        <f t="shared" si="4"/>
        <v>14560</v>
      </c>
      <c r="H12" s="6">
        <f t="shared" si="5"/>
        <v>910</v>
      </c>
      <c r="I12" s="7">
        <f t="shared" si="6"/>
        <v>1.456</v>
      </c>
      <c r="J12" s="7">
        <f t="shared" si="7"/>
        <v>9.0999999999999998E-2</v>
      </c>
    </row>
    <row r="13" spans="1:10" x14ac:dyDescent="0.3">
      <c r="A13" t="str">
        <f>'CloseDateSpeedOfMarket'!A37</f>
        <v>Dec 2025</v>
      </c>
      <c r="B13" s="1">
        <f>'CloseDateSpeedOfMarket'!B37</f>
        <v>1124</v>
      </c>
      <c r="C13" s="1">
        <f t="shared" si="0"/>
        <v>2248</v>
      </c>
      <c r="D13" s="4">
        <f t="shared" si="1"/>
        <v>22480000</v>
      </c>
      <c r="E13" s="5">
        <f t="shared" si="2"/>
        <v>17984000</v>
      </c>
      <c r="F13" s="5">
        <f t="shared" si="3"/>
        <v>4496000</v>
      </c>
      <c r="G13" s="6">
        <f t="shared" si="4"/>
        <v>10578.823529411764</v>
      </c>
      <c r="H13" s="6">
        <f t="shared" si="5"/>
        <v>661.17647058823525</v>
      </c>
      <c r="I13" s="7">
        <f t="shared" si="6"/>
        <v>1.0578823529411765</v>
      </c>
      <c r="J13" s="7">
        <f t="shared" si="7"/>
        <v>6.6117647058823531E-2</v>
      </c>
    </row>
    <row r="14" spans="1:10" x14ac:dyDescent="0.3">
      <c r="A14" t="str">
        <f>'CloseDateSpeedOfMarket'!A38</f>
        <v>Jan 2026</v>
      </c>
      <c r="B14" s="1">
        <f>'CloseDateSpeedOfMarket'!B38</f>
        <v>1233</v>
      </c>
      <c r="C14" s="1">
        <f t="shared" si="0"/>
        <v>2466</v>
      </c>
      <c r="D14" s="4">
        <f t="shared" si="1"/>
        <v>24660000</v>
      </c>
      <c r="E14" s="5">
        <f t="shared" si="2"/>
        <v>19728000</v>
      </c>
      <c r="F14" s="5">
        <f t="shared" si="3"/>
        <v>4932000</v>
      </c>
      <c r="G14" s="6">
        <f t="shared" si="4"/>
        <v>11604.705882352941</v>
      </c>
      <c r="H14" s="6">
        <f t="shared" si="5"/>
        <v>725.29411764705878</v>
      </c>
      <c r="I14" s="7">
        <f t="shared" si="6"/>
        <v>1.1604705882352941</v>
      </c>
      <c r="J14" s="7">
        <f t="shared" si="7"/>
        <v>7.2529411764705884E-2</v>
      </c>
    </row>
    <row r="15" spans="1:10" x14ac:dyDescent="0.3">
      <c r="B15" s="15">
        <f t="shared" ref="B15:C15" si="8">SUM(B2:B14)</f>
        <v>23978</v>
      </c>
      <c r="C15" s="15">
        <f t="shared" si="8"/>
        <v>47956</v>
      </c>
      <c r="D15" s="16">
        <f>SUM(D2:D14)</f>
        <v>479560000</v>
      </c>
      <c r="E15" s="17">
        <f t="shared" si="2"/>
        <v>383648000</v>
      </c>
      <c r="F15" s="17">
        <f t="shared" si="3"/>
        <v>95912000</v>
      </c>
      <c r="G15" s="18">
        <f t="shared" si="4"/>
        <v>225675.29411764705</v>
      </c>
      <c r="H15" s="18">
        <f t="shared" si="5"/>
        <v>14104.705882352941</v>
      </c>
      <c r="I15" s="19">
        <f t="shared" si="6"/>
        <v>22.567529411764706</v>
      </c>
      <c r="J15" s="19">
        <f t="shared" si="7"/>
        <v>1.4104705882352941</v>
      </c>
    </row>
    <row r="16" spans="1:10" x14ac:dyDescent="0.3">
      <c r="E16" s="20">
        <f>E15/D15</f>
        <v>0.8</v>
      </c>
      <c r="F16" s="20">
        <f>F15/D15</f>
        <v>0.2</v>
      </c>
      <c r="G16" s="6"/>
    </row>
    <row r="17" spans="1:4" ht="25.85" x14ac:dyDescent="0.45">
      <c r="A17" s="8" t="s">
        <v>50</v>
      </c>
      <c r="B17" s="9"/>
      <c r="C17" s="9"/>
      <c r="D17" s="9"/>
    </row>
    <row r="18" spans="1:4" ht="25.85" x14ac:dyDescent="0.45">
      <c r="A18" s="8" t="s">
        <v>51</v>
      </c>
      <c r="B18" s="9"/>
      <c r="C18" s="9"/>
      <c r="D18" s="9"/>
    </row>
    <row r="19" spans="1:4" ht="25.85" x14ac:dyDescent="0.45">
      <c r="A19" s="8" t="s">
        <v>53</v>
      </c>
      <c r="B19" s="9"/>
      <c r="C19" s="9"/>
      <c r="D19" s="9"/>
    </row>
    <row r="20" spans="1:4" ht="25.85" x14ac:dyDescent="0.45">
      <c r="A20" s="8" t="s">
        <v>52</v>
      </c>
      <c r="B20" s="9"/>
      <c r="C20" s="9"/>
      <c r="D20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2026-02-11T13:30:11Z</cp:lastPrinted>
  <dcterms:created xsi:type="dcterms:W3CDTF">2026-02-04T19:45:12Z</dcterms:created>
  <dcterms:modified xsi:type="dcterms:W3CDTF">2026-02-16T22:11:35Z</dcterms:modified>
</cp:coreProperties>
</file>