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github1\Reports\"/>
    </mc:Choice>
  </mc:AlternateContent>
  <xr:revisionPtr revIDLastSave="0" documentId="13_ncr:1_{7C734D38-7721-4DEE-8BA5-9B2084C96390}" xr6:coauthVersionLast="47" xr6:coauthVersionMax="47" xr10:uidLastSave="{00000000-0000-0000-0000-000000000000}"/>
  <bookViews>
    <workbookView xWindow="6768" yWindow="1104" windowWidth="30960" windowHeight="12708" xr2:uid="{32F147FF-6970-47A8-92BA-CA672CF433BE}"/>
  </bookViews>
  <sheets>
    <sheet name="CloseDateSpeedOfMarket" sheetId="2" r:id="rId1"/>
    <sheet name="Sheet1" sheetId="1" r:id="rId2"/>
  </sheets>
  <definedNames>
    <definedName name="ExternalData_1" localSheetId="0" hidden="1">CloseDateSpeedOfMarket!$A$1:$D$39</definedName>
    <definedName name="_xlnm.Print_Area" localSheetId="0">CloseDateSpeedOfMarket!$A$1:$P$50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S25" i="2" l="1"/>
  <c r="S26" i="2"/>
  <c r="S27" i="2"/>
  <c r="S28" i="2"/>
  <c r="S29" i="2"/>
  <c r="S30" i="2"/>
  <c r="S31" i="2"/>
  <c r="S32" i="2"/>
  <c r="S33" i="2"/>
  <c r="S34" i="2"/>
  <c r="S35" i="2"/>
  <c r="S36" i="2"/>
  <c r="S37" i="2"/>
  <c r="S38" i="2"/>
  <c r="S39" i="2"/>
  <c r="S15" i="2"/>
  <c r="S16" i="2"/>
  <c r="S17" i="2"/>
  <c r="S18" i="2"/>
  <c r="S19" i="2"/>
  <c r="S20" i="2"/>
  <c r="S21" i="2"/>
  <c r="S22" i="2"/>
  <c r="S23" i="2"/>
  <c r="S24" i="2"/>
  <c r="S14" i="2"/>
  <c r="R15" i="2"/>
  <c r="R16" i="2"/>
  <c r="R17" i="2"/>
  <c r="R18" i="2"/>
  <c r="R19" i="2"/>
  <c r="R20" i="2"/>
  <c r="R21" i="2"/>
  <c r="R22" i="2"/>
  <c r="R23" i="2"/>
  <c r="R24" i="2"/>
  <c r="R25" i="2"/>
  <c r="R26" i="2"/>
  <c r="R27" i="2"/>
  <c r="R28" i="2"/>
  <c r="R29" i="2"/>
  <c r="R30" i="2"/>
  <c r="R31" i="2"/>
  <c r="R32" i="2"/>
  <c r="R33" i="2"/>
  <c r="R34" i="2"/>
  <c r="R35" i="2"/>
  <c r="R36" i="2"/>
  <c r="R37" i="2"/>
  <c r="R38" i="2"/>
  <c r="R39" i="2"/>
  <c r="R14" i="2"/>
  <c r="Q14" i="2"/>
  <c r="Q15" i="2"/>
  <c r="Q16" i="2"/>
  <c r="Q17" i="2"/>
  <c r="Q18" i="2"/>
  <c r="Q19" i="2"/>
  <c r="Q20" i="2"/>
  <c r="Q21" i="2"/>
  <c r="Q22" i="2"/>
  <c r="Q23" i="2"/>
  <c r="Q24" i="2"/>
  <c r="Q25" i="2"/>
  <c r="Q26" i="2"/>
  <c r="Q27" i="2"/>
  <c r="Q28" i="2"/>
  <c r="Q29" i="2"/>
  <c r="Q30" i="2"/>
  <c r="Q31" i="2"/>
  <c r="Q32" i="2"/>
  <c r="Q33" i="2"/>
  <c r="Q34" i="2"/>
  <c r="Q35" i="2"/>
  <c r="Q36" i="2"/>
  <c r="Q37" i="2"/>
  <c r="Q38" i="2"/>
  <c r="Q39" i="2"/>
  <c r="B2" i="1"/>
  <c r="C2" i="1" s="1"/>
  <c r="B3" i="1"/>
  <c r="C3" i="1" s="1"/>
  <c r="D3" i="1" s="1"/>
  <c r="B4" i="1"/>
  <c r="B5" i="1"/>
  <c r="C5" i="1" s="1"/>
  <c r="D5" i="1" s="1"/>
  <c r="B6" i="1"/>
  <c r="C6" i="1" s="1"/>
  <c r="D6" i="1" s="1"/>
  <c r="B7" i="1"/>
  <c r="C7" i="1" s="1"/>
  <c r="D7" i="1" s="1"/>
  <c r="B8" i="1"/>
  <c r="C8" i="1" s="1"/>
  <c r="D8" i="1" s="1"/>
  <c r="B9" i="1"/>
  <c r="C9" i="1" s="1"/>
  <c r="D9" i="1" s="1"/>
  <c r="B10" i="1"/>
  <c r="C10" i="1" s="1"/>
  <c r="D10" i="1" s="1"/>
  <c r="B11" i="1"/>
  <c r="C11" i="1" s="1"/>
  <c r="D11" i="1" s="1"/>
  <c r="B12" i="1"/>
  <c r="C12" i="1" s="1"/>
  <c r="D12" i="1" s="1"/>
  <c r="B13" i="1"/>
  <c r="C13" i="1" s="1"/>
  <c r="D13" i="1" s="1"/>
  <c r="B14" i="1"/>
  <c r="C14" i="1" s="1"/>
  <c r="D14" i="1" s="1"/>
  <c r="A2" i="1"/>
  <c r="A3" i="1"/>
  <c r="A4" i="1"/>
  <c r="A5" i="1"/>
  <c r="A6" i="1"/>
  <c r="A7" i="1"/>
  <c r="A8" i="1"/>
  <c r="A9" i="1"/>
  <c r="A10" i="1"/>
  <c r="A11" i="1"/>
  <c r="A12" i="1"/>
  <c r="A13" i="1"/>
  <c r="A14" i="1"/>
  <c r="C4" i="1" l="1"/>
  <c r="D4" i="1" s="1"/>
  <c r="B15" i="1"/>
  <c r="F6" i="1"/>
  <c r="H6" i="1" s="1"/>
  <c r="J6" i="1" s="1"/>
  <c r="E6" i="1"/>
  <c r="G6" i="1" s="1"/>
  <c r="I6" i="1" s="1"/>
  <c r="D2" i="1"/>
  <c r="C15" i="1"/>
  <c r="F3" i="1"/>
  <c r="H3" i="1" s="1"/>
  <c r="J3" i="1" s="1"/>
  <c r="E3" i="1"/>
  <c r="G3" i="1" s="1"/>
  <c r="I3" i="1" s="1"/>
  <c r="F5" i="1"/>
  <c r="H5" i="1" s="1"/>
  <c r="J5" i="1" s="1"/>
  <c r="E5" i="1"/>
  <c r="G5" i="1" s="1"/>
  <c r="I5" i="1" s="1"/>
  <c r="F7" i="1"/>
  <c r="H7" i="1" s="1"/>
  <c r="J7" i="1" s="1"/>
  <c r="E7" i="1"/>
  <c r="G7" i="1" s="1"/>
  <c r="I7" i="1" s="1"/>
  <c r="F8" i="1"/>
  <c r="H8" i="1" s="1"/>
  <c r="J8" i="1" s="1"/>
  <c r="E8" i="1"/>
  <c r="G8" i="1" s="1"/>
  <c r="I8" i="1" s="1"/>
  <c r="F9" i="1"/>
  <c r="H9" i="1" s="1"/>
  <c r="J9" i="1" s="1"/>
  <c r="E9" i="1"/>
  <c r="G9" i="1" s="1"/>
  <c r="I9" i="1" s="1"/>
  <c r="F10" i="1"/>
  <c r="H10" i="1" s="1"/>
  <c r="J10" i="1" s="1"/>
  <c r="E10" i="1"/>
  <c r="G10" i="1" s="1"/>
  <c r="I10" i="1" s="1"/>
  <c r="F11" i="1"/>
  <c r="H11" i="1" s="1"/>
  <c r="J11" i="1" s="1"/>
  <c r="E11" i="1"/>
  <c r="G11" i="1" s="1"/>
  <c r="I11" i="1" s="1"/>
  <c r="E12" i="1"/>
  <c r="G12" i="1" s="1"/>
  <c r="I12" i="1" s="1"/>
  <c r="F12" i="1"/>
  <c r="H12" i="1" s="1"/>
  <c r="J12" i="1" s="1"/>
  <c r="F13" i="1"/>
  <c r="H13" i="1" s="1"/>
  <c r="J13" i="1" s="1"/>
  <c r="E13" i="1"/>
  <c r="G13" i="1" s="1"/>
  <c r="I13" i="1" s="1"/>
  <c r="F14" i="1"/>
  <c r="H14" i="1" s="1"/>
  <c r="J14" i="1" s="1"/>
  <c r="E14" i="1"/>
  <c r="G14" i="1" s="1"/>
  <c r="I14" i="1" s="1"/>
  <c r="F4" i="1" l="1"/>
  <c r="H4" i="1" s="1"/>
  <c r="J4" i="1" s="1"/>
  <c r="E4" i="1"/>
  <c r="G4" i="1" s="1"/>
  <c r="I4" i="1" s="1"/>
  <c r="E2" i="1"/>
  <c r="G2" i="1" s="1"/>
  <c r="I2" i="1" s="1"/>
  <c r="F2" i="1"/>
  <c r="H2" i="1" s="1"/>
  <c r="J2" i="1" s="1"/>
  <c r="D15" i="1"/>
  <c r="F15" i="1" l="1"/>
  <c r="E15" i="1"/>
  <c r="F16" i="1" l="1"/>
  <c r="H15" i="1"/>
  <c r="J15" i="1" s="1"/>
  <c r="E16" i="1"/>
  <c r="G15" i="1"/>
  <c r="I15" i="1" s="1"/>
</calcChain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6D710BC4-6B27-43A4-BBC2-58D0D3BEACAB}" keepAlive="1" name="Query - CloseDateSpeedOfMarket (3)" description="Connection to the 'CloseDateSpeedOfMarket (3)' query in the workbook." type="5" refreshedVersion="8" background="1" saveData="1">
    <dbPr connection="Provider=Microsoft.Mashup.OleDb.1;Data Source=$Workbook$;Location=&quot;CloseDateSpeedOfMarket (3)&quot;;Extended Properties=&quot;&quot;" command="SELECT * FROM [CloseDateSpeedOfMarket (3)]"/>
  </connection>
</connections>
</file>

<file path=xl/sharedStrings.xml><?xml version="1.0" encoding="utf-8"?>
<sst xmlns="http://schemas.openxmlformats.org/spreadsheetml/2006/main" count="18" uniqueCount="18">
  <si>
    <t>MonthYear</t>
  </si>
  <si>
    <t>DaysUsed</t>
  </si>
  <si>
    <t>AvgDailySales</t>
  </si>
  <si>
    <t>Month</t>
  </si>
  <si>
    <t>Sales</t>
  </si>
  <si>
    <t>Ends</t>
  </si>
  <si>
    <t>Commissions</t>
  </si>
  <si>
    <t>Top 20%</t>
  </si>
  <si>
    <t>Bottom 80%</t>
  </si>
  <si>
    <t>Top 20% Deals</t>
  </si>
  <si>
    <t>Bottom 80% Deals</t>
  </si>
  <si>
    <t>MLS Sales in the past 12 months times 2 equals "Realtor Ends"</t>
  </si>
  <si>
    <t>8,500 Realtors with 20% of the Realtors doing 80% of The Business</t>
  </si>
  <si>
    <t>Gross Commission Avg Number Used $10,000 per end.</t>
  </si>
  <si>
    <t>8,500 Realtors with 80% of the Realtors doing 20% of The Business</t>
  </si>
  <si>
    <t>Top 20% Each/Month</t>
  </si>
  <si>
    <t>Bottom 80% Each/Month</t>
  </si>
  <si>
    <t>CountOfMLS® 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</si>
</sst>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44" formatCode="_(&quot;$&quot;* #,##0.00_);_(&quot;$&quot;* \(#,##0.00\);_(&quot;$&quot;* &quot;-&quot;??_);_(@_)"/>
    <numFmt numFmtId="43" formatCode="_(* #,##0.00_);_(* \(#,##0.00\);_(* &quot;-&quot;??_);_(@_)"/>
    <numFmt numFmtId="164" formatCode="[$-F800]dddd\,\ mmmm\ dd\,\ yyyy"/>
    <numFmt numFmtId="165" formatCode="_(&quot;$&quot;* #,##0_);_(&quot;$&quot;* \(#,##0\);_(&quot;$&quot;* &quot;-&quot;??_);_(@_)"/>
    <numFmt numFmtId="168" formatCode="mmm\ yyyy"/>
  </numFmts>
  <fonts count="5" x14ac:knownFonts="1">
    <font>
      <sz val="12"/>
      <color theme="1"/>
      <name val="Calibri"/>
      <family val="2"/>
    </font>
    <font>
      <sz val="12"/>
      <color theme="1"/>
      <name val="Calibri"/>
      <family val="2"/>
    </font>
    <font>
      <b/>
      <sz val="12"/>
      <color theme="1"/>
      <name val="Calibri"/>
      <family val="2"/>
    </font>
    <font>
      <sz val="20"/>
      <color theme="1"/>
      <name val="Calibri"/>
      <family val="2"/>
    </font>
    <font>
      <b/>
      <sz val="14"/>
      <color theme="1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theme="7" tint="0.39997558519241921"/>
        <bgColor indexed="64"/>
      </patternFill>
    </fill>
  </fills>
  <borders count="1">
    <border>
      <left/>
      <right/>
      <top/>
      <bottom/>
      <diagonal/>
    </border>
  </borders>
  <cellStyleXfs count="4">
    <xf numFmtId="0" fontId="0" fillId="0" borderId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9" fontId="1" fillId="0" borderId="0" applyFont="0" applyFill="0" applyBorder="0" applyAlignment="0" applyProtection="0"/>
  </cellStyleXfs>
  <cellXfs count="24">
    <xf numFmtId="0" fontId="0" fillId="0" borderId="0" xfId="0"/>
    <xf numFmtId="0" fontId="0" fillId="0" borderId="0" xfId="0" applyAlignment="1">
      <alignment horizontal="center" vertical="center"/>
    </xf>
    <xf numFmtId="165" fontId="0" fillId="0" borderId="0" xfId="2" applyNumberFormat="1" applyFont="1" applyAlignment="1">
      <alignment horizontal="center" vertical="center"/>
    </xf>
    <xf numFmtId="165" fontId="0" fillId="0" borderId="0" xfId="0" applyNumberFormat="1"/>
    <xf numFmtId="44" fontId="0" fillId="0" borderId="0" xfId="0" applyNumberFormat="1"/>
    <xf numFmtId="2" fontId="0" fillId="0" borderId="0" xfId="1" applyNumberFormat="1" applyFont="1" applyAlignment="1">
      <alignment horizontal="center" vertical="center"/>
    </xf>
    <xf numFmtId="0" fontId="3" fillId="0" borderId="0" xfId="0" applyFont="1"/>
    <xf numFmtId="0" fontId="3" fillId="0" borderId="0" xfId="0" applyFont="1" applyAlignment="1">
      <alignment horizontal="center" vertical="center"/>
    </xf>
    <xf numFmtId="0" fontId="4" fillId="2" borderId="0" xfId="0" applyFont="1" applyFill="1"/>
    <xf numFmtId="0" fontId="4" fillId="2" borderId="0" xfId="0" applyFont="1" applyFill="1" applyAlignment="1">
      <alignment horizontal="center" vertical="center"/>
    </xf>
    <xf numFmtId="9" fontId="4" fillId="2" borderId="0" xfId="0" applyNumberFormat="1" applyFont="1" applyFill="1"/>
    <xf numFmtId="2" fontId="4" fillId="2" borderId="0" xfId="0" applyNumberFormat="1" applyFont="1" applyFill="1" applyAlignment="1">
      <alignment horizontal="center" vertical="center"/>
    </xf>
    <xf numFmtId="2" fontId="0" fillId="0" borderId="0" xfId="0" applyNumberFormat="1" applyAlignment="1">
      <alignment horizontal="center" vertical="center"/>
    </xf>
    <xf numFmtId="3" fontId="2" fillId="2" borderId="0" xfId="1" applyNumberFormat="1" applyFont="1" applyFill="1" applyAlignment="1">
      <alignment horizontal="center" vertical="center"/>
    </xf>
    <xf numFmtId="165" fontId="2" fillId="2" borderId="0" xfId="2" applyNumberFormat="1" applyFont="1" applyFill="1" applyAlignment="1">
      <alignment horizontal="center" vertical="center"/>
    </xf>
    <xf numFmtId="165" fontId="2" fillId="2" borderId="0" xfId="0" applyNumberFormat="1" applyFont="1" applyFill="1"/>
    <xf numFmtId="44" fontId="2" fillId="2" borderId="0" xfId="0" applyNumberFormat="1" applyFont="1" applyFill="1"/>
    <xf numFmtId="2" fontId="2" fillId="2" borderId="0" xfId="1" applyNumberFormat="1" applyFont="1" applyFill="1" applyAlignment="1">
      <alignment horizontal="center" vertical="center"/>
    </xf>
    <xf numFmtId="9" fontId="0" fillId="0" borderId="0" xfId="3" applyFont="1" applyAlignment="1">
      <alignment horizontal="center"/>
    </xf>
    <xf numFmtId="9" fontId="0" fillId="0" borderId="0" xfId="3" applyFont="1"/>
    <xf numFmtId="0" fontId="0" fillId="0" borderId="0" xfId="0" applyAlignment="1">
      <alignment horizontal="left"/>
    </xf>
    <xf numFmtId="164" fontId="0" fillId="0" borderId="0" xfId="0" applyNumberFormat="1" applyAlignment="1">
      <alignment horizontal="center"/>
    </xf>
    <xf numFmtId="168" fontId="0" fillId="0" borderId="0" xfId="0" applyNumberFormat="1" applyAlignment="1">
      <alignment horizontal="center" vertical="center"/>
    </xf>
    <xf numFmtId="168" fontId="0" fillId="0" borderId="0" xfId="0" applyNumberFormat="1"/>
  </cellXfs>
  <cellStyles count="4">
    <cellStyle name="Comma" xfId="1" builtinId="3"/>
    <cellStyle name="Currency" xfId="2" builtinId="4"/>
    <cellStyle name="Normal" xfId="0" builtinId="0"/>
    <cellStyle name="Percent" xfId="3" builtinId="5"/>
  </cellStyles>
  <dxfs count="6">
    <dxf>
      <numFmt numFmtId="168" formatCode="mmm\ yyyy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1.xml"/><Relationship Id="rId3" Type="http://schemas.openxmlformats.org/officeDocument/2006/relationships/theme" Target="theme/theme1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connections" Target="connection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Speed</a:t>
            </a:r>
            <a:r>
              <a:rPr lang="en-US" baseline="0"/>
              <a:t> of Home Sales In Calgary Alberta</a:t>
            </a:r>
            <a:br>
              <a:rPr lang="en-US" baseline="0"/>
            </a:br>
            <a:r>
              <a:rPr lang="en-US" baseline="0"/>
              <a:t>Average Daily Home Sales By Month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dPt>
            <c:idx val="0"/>
            <c:invertIfNegative val="0"/>
            <c:bubble3D val="0"/>
            <c:spPr>
              <a:solidFill>
                <a:schemeClr val="accent2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1-63AF-4748-99B4-8D54142BC635}"/>
              </c:ext>
            </c:extLst>
          </c:dPt>
          <c:dPt>
            <c:idx val="1"/>
            <c:invertIfNegative val="0"/>
            <c:bubble3D val="0"/>
            <c:spPr>
              <a:solidFill>
                <a:schemeClr val="accent2">
                  <a:lumMod val="5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8-B93B-4B34-A5D1-A63CC2FCAD9A}"/>
              </c:ext>
            </c:extLst>
          </c:dPt>
          <c:dPt>
            <c:idx val="12"/>
            <c:invertIfNegative val="0"/>
            <c:bubble3D val="0"/>
            <c:spPr>
              <a:solidFill>
                <a:schemeClr val="accent2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2-63AF-4748-99B4-8D54142BC635}"/>
              </c:ext>
            </c:extLst>
          </c:dPt>
          <c:dPt>
            <c:idx val="13"/>
            <c:invertIfNegative val="0"/>
            <c:bubble3D val="0"/>
            <c:spPr>
              <a:solidFill>
                <a:schemeClr val="accent2">
                  <a:lumMod val="5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9-B93B-4B34-A5D1-A63CC2FCAD9A}"/>
              </c:ext>
            </c:extLst>
          </c:dPt>
          <c:dPt>
            <c:idx val="24"/>
            <c:invertIfNegative val="0"/>
            <c:bubble3D val="0"/>
            <c:spPr>
              <a:solidFill>
                <a:schemeClr val="accent2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3-63AF-4748-99B4-8D54142BC635}"/>
              </c:ext>
            </c:extLst>
          </c:dPt>
          <c:dPt>
            <c:idx val="25"/>
            <c:invertIfNegative val="0"/>
            <c:bubble3D val="0"/>
            <c:spPr>
              <a:solidFill>
                <a:schemeClr val="accent2">
                  <a:lumMod val="5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A-B93B-4B34-A5D1-A63CC2FCAD9A}"/>
              </c:ext>
            </c:extLst>
          </c:dPt>
          <c:dPt>
            <c:idx val="37"/>
            <c:invertIfNegative val="0"/>
            <c:bubble3D val="0"/>
            <c:spPr>
              <a:solidFill>
                <a:schemeClr val="accent2">
                  <a:lumMod val="5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7-B93B-4B34-A5D1-A63CC2FCAD9A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CloseDateSpeedOfMarket!$A$2:$A$39</c:f>
              <c:numCache>
                <c:formatCode>mmm\ yyyy</c:formatCode>
                <c:ptCount val="38"/>
                <c:pt idx="0">
                  <c:v>44958</c:v>
                </c:pt>
                <c:pt idx="1">
                  <c:v>44986</c:v>
                </c:pt>
                <c:pt idx="2">
                  <c:v>45017</c:v>
                </c:pt>
                <c:pt idx="3">
                  <c:v>45047</c:v>
                </c:pt>
                <c:pt idx="4">
                  <c:v>45078</c:v>
                </c:pt>
                <c:pt idx="5">
                  <c:v>45108</c:v>
                </c:pt>
                <c:pt idx="6">
                  <c:v>45139</c:v>
                </c:pt>
                <c:pt idx="7">
                  <c:v>45170</c:v>
                </c:pt>
                <c:pt idx="8">
                  <c:v>45200</c:v>
                </c:pt>
                <c:pt idx="9">
                  <c:v>45231</c:v>
                </c:pt>
                <c:pt idx="10">
                  <c:v>45261</c:v>
                </c:pt>
                <c:pt idx="11">
                  <c:v>45292</c:v>
                </c:pt>
                <c:pt idx="12">
                  <c:v>45323</c:v>
                </c:pt>
                <c:pt idx="13">
                  <c:v>45352</c:v>
                </c:pt>
                <c:pt idx="14">
                  <c:v>45383</c:v>
                </c:pt>
                <c:pt idx="15">
                  <c:v>45413</c:v>
                </c:pt>
                <c:pt idx="16">
                  <c:v>45444</c:v>
                </c:pt>
                <c:pt idx="17">
                  <c:v>45474</c:v>
                </c:pt>
                <c:pt idx="18">
                  <c:v>45505</c:v>
                </c:pt>
                <c:pt idx="19">
                  <c:v>45536</c:v>
                </c:pt>
                <c:pt idx="20">
                  <c:v>45566</c:v>
                </c:pt>
                <c:pt idx="21">
                  <c:v>45597</c:v>
                </c:pt>
                <c:pt idx="22">
                  <c:v>45627</c:v>
                </c:pt>
                <c:pt idx="23">
                  <c:v>45658</c:v>
                </c:pt>
                <c:pt idx="24">
                  <c:v>45689</c:v>
                </c:pt>
                <c:pt idx="25">
                  <c:v>45717</c:v>
                </c:pt>
                <c:pt idx="26">
                  <c:v>45748</c:v>
                </c:pt>
                <c:pt idx="27">
                  <c:v>45778</c:v>
                </c:pt>
                <c:pt idx="28">
                  <c:v>45809</c:v>
                </c:pt>
                <c:pt idx="29">
                  <c:v>45839</c:v>
                </c:pt>
                <c:pt idx="30">
                  <c:v>45870</c:v>
                </c:pt>
                <c:pt idx="31">
                  <c:v>45901</c:v>
                </c:pt>
                <c:pt idx="32">
                  <c:v>45931</c:v>
                </c:pt>
                <c:pt idx="33">
                  <c:v>45962</c:v>
                </c:pt>
                <c:pt idx="34">
                  <c:v>45992</c:v>
                </c:pt>
                <c:pt idx="35">
                  <c:v>46023</c:v>
                </c:pt>
                <c:pt idx="36">
                  <c:v>46054</c:v>
                </c:pt>
                <c:pt idx="37">
                  <c:v>46082</c:v>
                </c:pt>
              </c:numCache>
            </c:numRef>
          </c:cat>
          <c:val>
            <c:numRef>
              <c:f>CloseDateSpeedOfMarket!$D$2:$D$39</c:f>
              <c:numCache>
                <c:formatCode>General</c:formatCode>
                <c:ptCount val="38"/>
                <c:pt idx="0">
                  <c:v>62</c:v>
                </c:pt>
                <c:pt idx="1">
                  <c:v>78</c:v>
                </c:pt>
                <c:pt idx="2">
                  <c:v>90</c:v>
                </c:pt>
                <c:pt idx="3">
                  <c:v>101</c:v>
                </c:pt>
                <c:pt idx="4">
                  <c:v>105</c:v>
                </c:pt>
                <c:pt idx="5">
                  <c:v>85</c:v>
                </c:pt>
                <c:pt idx="6">
                  <c:v>88</c:v>
                </c:pt>
                <c:pt idx="7">
                  <c:v>81</c:v>
                </c:pt>
                <c:pt idx="8">
                  <c:v>70</c:v>
                </c:pt>
                <c:pt idx="9">
                  <c:v>59</c:v>
                </c:pt>
                <c:pt idx="10">
                  <c:v>44</c:v>
                </c:pt>
                <c:pt idx="11">
                  <c:v>53</c:v>
                </c:pt>
                <c:pt idx="12">
                  <c:v>74</c:v>
                </c:pt>
                <c:pt idx="13">
                  <c:v>86</c:v>
                </c:pt>
                <c:pt idx="14">
                  <c:v>96</c:v>
                </c:pt>
                <c:pt idx="15">
                  <c:v>100</c:v>
                </c:pt>
                <c:pt idx="16">
                  <c:v>91</c:v>
                </c:pt>
                <c:pt idx="17">
                  <c:v>77</c:v>
                </c:pt>
                <c:pt idx="18">
                  <c:v>70</c:v>
                </c:pt>
                <c:pt idx="19">
                  <c:v>67</c:v>
                </c:pt>
                <c:pt idx="20">
                  <c:v>70</c:v>
                </c:pt>
                <c:pt idx="21">
                  <c:v>60</c:v>
                </c:pt>
                <c:pt idx="22">
                  <c:v>43</c:v>
                </c:pt>
                <c:pt idx="23">
                  <c:v>47</c:v>
                </c:pt>
                <c:pt idx="24">
                  <c:v>61</c:v>
                </c:pt>
                <c:pt idx="25">
                  <c:v>70</c:v>
                </c:pt>
                <c:pt idx="26">
                  <c:v>74</c:v>
                </c:pt>
                <c:pt idx="27">
                  <c:v>83</c:v>
                </c:pt>
                <c:pt idx="28">
                  <c:v>76</c:v>
                </c:pt>
                <c:pt idx="29">
                  <c:v>68</c:v>
                </c:pt>
                <c:pt idx="30">
                  <c:v>64</c:v>
                </c:pt>
                <c:pt idx="31">
                  <c:v>57</c:v>
                </c:pt>
                <c:pt idx="32">
                  <c:v>61</c:v>
                </c:pt>
                <c:pt idx="33">
                  <c:v>52</c:v>
                </c:pt>
                <c:pt idx="34">
                  <c:v>36</c:v>
                </c:pt>
                <c:pt idx="35">
                  <c:v>40</c:v>
                </c:pt>
                <c:pt idx="36">
                  <c:v>55</c:v>
                </c:pt>
                <c:pt idx="37">
                  <c:v>44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63AF-4748-99B4-8D54142BC63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586623071"/>
        <c:axId val="1586624991"/>
      </c:barChart>
      <c:dateAx>
        <c:axId val="1586623071"/>
        <c:scaling>
          <c:orientation val="minMax"/>
        </c:scaling>
        <c:delete val="0"/>
        <c:axPos val="b"/>
        <c:numFmt formatCode="mmm\ yyyy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86624991"/>
        <c:crosses val="autoZero"/>
        <c:auto val="1"/>
        <c:lblOffset val="100"/>
        <c:baseTimeUnit val="months"/>
      </c:dateAx>
      <c:valAx>
        <c:axId val="158662499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86623071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Speed Of Home Sales in Calgary Alberta</a:t>
            </a:r>
            <a:br>
              <a:rPr lang="en-US"/>
            </a:br>
            <a:r>
              <a:rPr lang="en-US"/>
              <a:t>Total Home Sales By Month</a:t>
            </a:r>
          </a:p>
        </c:rich>
      </c:tx>
      <c:overlay val="0"/>
      <c:spPr>
        <a:noFill/>
        <a:ln>
          <a:noFill/>
        </a:ln>
        <a:effectLst/>
      </c:spPr>
    </c:title>
    <c:autoTitleDeleted val="0"/>
    <c:plotArea>
      <c:layout>
        <c:manualLayout>
          <c:layoutTarget val="inner"/>
          <c:xMode val="edge"/>
          <c:yMode val="edge"/>
          <c:x val="7.7914260717410325E-2"/>
          <c:y val="0.19486111111111112"/>
          <c:w val="0.86920275590551177"/>
          <c:h val="0.6240146544181977"/>
        </c:manualLayout>
      </c:layout>
      <c:barChart>
        <c:barDir val="col"/>
        <c:grouping val="clustered"/>
        <c:varyColors val="0"/>
        <c:ser>
          <c:idx val="0"/>
          <c:order val="0"/>
          <c:spPr>
            <a:solidFill>
              <a:schemeClr val="accent1">
                <a:lumMod val="60000"/>
                <a:lumOff val="40000"/>
              </a:schemeClr>
            </a:solidFill>
            <a:ln>
              <a:noFill/>
            </a:ln>
            <a:effectLst/>
          </c:spPr>
          <c:invertIfNegative val="0"/>
          <c:dPt>
            <c:idx val="0"/>
            <c:invertIfNegative val="0"/>
            <c:bubble3D val="0"/>
            <c:extLst>
              <c:ext xmlns:c16="http://schemas.microsoft.com/office/drawing/2014/chart" uri="{C3380CC4-5D6E-409C-BE32-E72D297353CC}">
                <c16:uniqueId val="{00000001-3FEC-4330-910F-0A6765FE7892}"/>
              </c:ext>
            </c:extLst>
          </c:dPt>
          <c:dPt>
            <c:idx val="1"/>
            <c:invertIfNegative val="0"/>
            <c:bubble3D val="0"/>
            <c:spPr>
              <a:solidFill>
                <a:schemeClr val="tx2">
                  <a:lumMod val="75000"/>
                  <a:lumOff val="25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8-B3DD-4A98-B035-8F2C0EE22214}"/>
              </c:ext>
            </c:extLst>
          </c:dPt>
          <c:dPt>
            <c:idx val="12"/>
            <c:invertIfNegative val="0"/>
            <c:bubble3D val="0"/>
            <c:extLst>
              <c:ext xmlns:c16="http://schemas.microsoft.com/office/drawing/2014/chart" uri="{C3380CC4-5D6E-409C-BE32-E72D297353CC}">
                <c16:uniqueId val="{00000002-3FEC-4330-910F-0A6765FE7892}"/>
              </c:ext>
            </c:extLst>
          </c:dPt>
          <c:dPt>
            <c:idx val="13"/>
            <c:invertIfNegative val="0"/>
            <c:bubble3D val="0"/>
            <c:spPr>
              <a:solidFill>
                <a:schemeClr val="tx2">
                  <a:lumMod val="75000"/>
                  <a:lumOff val="25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9-B3DD-4A98-B035-8F2C0EE22214}"/>
              </c:ext>
            </c:extLst>
          </c:dPt>
          <c:dPt>
            <c:idx val="24"/>
            <c:invertIfNegative val="0"/>
            <c:bubble3D val="0"/>
            <c:extLst>
              <c:ext xmlns:c16="http://schemas.microsoft.com/office/drawing/2014/chart" uri="{C3380CC4-5D6E-409C-BE32-E72D297353CC}">
                <c16:uniqueId val="{00000003-3FEC-4330-910F-0A6765FE7892}"/>
              </c:ext>
            </c:extLst>
          </c:dPt>
          <c:dPt>
            <c:idx val="25"/>
            <c:invertIfNegative val="0"/>
            <c:bubble3D val="0"/>
            <c:spPr>
              <a:solidFill>
                <a:schemeClr val="tx2">
                  <a:lumMod val="75000"/>
                  <a:lumOff val="25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A-B3DD-4A98-B035-8F2C0EE22214}"/>
              </c:ext>
            </c:extLst>
          </c:dPt>
          <c:dPt>
            <c:idx val="37"/>
            <c:invertIfNegative val="0"/>
            <c:bubble3D val="0"/>
            <c:spPr>
              <a:solidFill>
                <a:schemeClr val="tx2">
                  <a:lumMod val="75000"/>
                  <a:lumOff val="25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7-B3DD-4A98-B035-8F2C0EE22214}"/>
              </c:ext>
            </c:extLst>
          </c:dPt>
          <c:dLbls>
            <c:numFmt formatCode="#,##0" sourceLinked="0"/>
            <c:spPr>
              <a:noFill/>
              <a:ln>
                <a:noFill/>
              </a:ln>
              <a:effectLst/>
            </c:spPr>
            <c:txPr>
              <a:bodyPr rot="5400000" spcFirstLastPara="1" vertOverflow="ellipsis" vert="horz" wrap="none" lIns="0" tIns="0" rIns="0" bIns="0" numCol="1" spcCol="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pPr xmlns:c15="http://schemas.microsoft.com/office/drawing/2012/chart">
                  <a:prstGeom prst="rect">
                    <a:avLst/>
                  </a:prstGeom>
                </c15:spPr>
                <c15:showLeaderLines val="0"/>
              </c:ext>
            </c:extLst>
          </c:dLbls>
          <c:cat>
            <c:numRef>
              <c:f>CloseDateSpeedOfMarket!$A$2:$A$39</c:f>
              <c:numCache>
                <c:formatCode>mmm\ yyyy</c:formatCode>
                <c:ptCount val="38"/>
                <c:pt idx="0">
                  <c:v>44958</c:v>
                </c:pt>
                <c:pt idx="1">
                  <c:v>44986</c:v>
                </c:pt>
                <c:pt idx="2">
                  <c:v>45017</c:v>
                </c:pt>
                <c:pt idx="3">
                  <c:v>45047</c:v>
                </c:pt>
                <c:pt idx="4">
                  <c:v>45078</c:v>
                </c:pt>
                <c:pt idx="5">
                  <c:v>45108</c:v>
                </c:pt>
                <c:pt idx="6">
                  <c:v>45139</c:v>
                </c:pt>
                <c:pt idx="7">
                  <c:v>45170</c:v>
                </c:pt>
                <c:pt idx="8">
                  <c:v>45200</c:v>
                </c:pt>
                <c:pt idx="9">
                  <c:v>45231</c:v>
                </c:pt>
                <c:pt idx="10">
                  <c:v>45261</c:v>
                </c:pt>
                <c:pt idx="11">
                  <c:v>45292</c:v>
                </c:pt>
                <c:pt idx="12">
                  <c:v>45323</c:v>
                </c:pt>
                <c:pt idx="13">
                  <c:v>45352</c:v>
                </c:pt>
                <c:pt idx="14">
                  <c:v>45383</c:v>
                </c:pt>
                <c:pt idx="15">
                  <c:v>45413</c:v>
                </c:pt>
                <c:pt idx="16">
                  <c:v>45444</c:v>
                </c:pt>
                <c:pt idx="17">
                  <c:v>45474</c:v>
                </c:pt>
                <c:pt idx="18">
                  <c:v>45505</c:v>
                </c:pt>
                <c:pt idx="19">
                  <c:v>45536</c:v>
                </c:pt>
                <c:pt idx="20">
                  <c:v>45566</c:v>
                </c:pt>
                <c:pt idx="21">
                  <c:v>45597</c:v>
                </c:pt>
                <c:pt idx="22">
                  <c:v>45627</c:v>
                </c:pt>
                <c:pt idx="23">
                  <c:v>45658</c:v>
                </c:pt>
                <c:pt idx="24">
                  <c:v>45689</c:v>
                </c:pt>
                <c:pt idx="25">
                  <c:v>45717</c:v>
                </c:pt>
                <c:pt idx="26">
                  <c:v>45748</c:v>
                </c:pt>
                <c:pt idx="27">
                  <c:v>45778</c:v>
                </c:pt>
                <c:pt idx="28">
                  <c:v>45809</c:v>
                </c:pt>
                <c:pt idx="29">
                  <c:v>45839</c:v>
                </c:pt>
                <c:pt idx="30">
                  <c:v>45870</c:v>
                </c:pt>
                <c:pt idx="31">
                  <c:v>45901</c:v>
                </c:pt>
                <c:pt idx="32">
                  <c:v>45931</c:v>
                </c:pt>
                <c:pt idx="33">
                  <c:v>45962</c:v>
                </c:pt>
                <c:pt idx="34">
                  <c:v>45992</c:v>
                </c:pt>
                <c:pt idx="35">
                  <c:v>46023</c:v>
                </c:pt>
                <c:pt idx="36">
                  <c:v>46054</c:v>
                </c:pt>
                <c:pt idx="37">
                  <c:v>46082</c:v>
                </c:pt>
              </c:numCache>
            </c:numRef>
          </c:cat>
          <c:val>
            <c:numRef>
              <c:f>CloseDateSpeedOfMarket!$B$2:$B$39</c:f>
              <c:numCache>
                <c:formatCode>General</c:formatCode>
                <c:ptCount val="38"/>
                <c:pt idx="0">
                  <c:v>1737</c:v>
                </c:pt>
                <c:pt idx="1">
                  <c:v>2424</c:v>
                </c:pt>
                <c:pt idx="2">
                  <c:v>2686</c:v>
                </c:pt>
                <c:pt idx="3">
                  <c:v>3117</c:v>
                </c:pt>
                <c:pt idx="4">
                  <c:v>3140</c:v>
                </c:pt>
                <c:pt idx="5">
                  <c:v>2644</c:v>
                </c:pt>
                <c:pt idx="6">
                  <c:v>2716</c:v>
                </c:pt>
                <c:pt idx="7">
                  <c:v>2430</c:v>
                </c:pt>
                <c:pt idx="8">
                  <c:v>2169</c:v>
                </c:pt>
                <c:pt idx="9">
                  <c:v>1783</c:v>
                </c:pt>
                <c:pt idx="10">
                  <c:v>1363</c:v>
                </c:pt>
                <c:pt idx="11">
                  <c:v>1648</c:v>
                </c:pt>
                <c:pt idx="12">
                  <c:v>2132</c:v>
                </c:pt>
                <c:pt idx="13">
                  <c:v>2658</c:v>
                </c:pt>
                <c:pt idx="14">
                  <c:v>2875</c:v>
                </c:pt>
                <c:pt idx="15">
                  <c:v>3089</c:v>
                </c:pt>
                <c:pt idx="16">
                  <c:v>2737</c:v>
                </c:pt>
                <c:pt idx="17">
                  <c:v>2374</c:v>
                </c:pt>
                <c:pt idx="18">
                  <c:v>2183</c:v>
                </c:pt>
                <c:pt idx="19">
                  <c:v>1999</c:v>
                </c:pt>
                <c:pt idx="20">
                  <c:v>2167</c:v>
                </c:pt>
                <c:pt idx="21">
                  <c:v>1793</c:v>
                </c:pt>
                <c:pt idx="22">
                  <c:v>1318</c:v>
                </c:pt>
                <c:pt idx="23">
                  <c:v>1449</c:v>
                </c:pt>
                <c:pt idx="24">
                  <c:v>1718</c:v>
                </c:pt>
                <c:pt idx="25">
                  <c:v>2156</c:v>
                </c:pt>
                <c:pt idx="26">
                  <c:v>2230</c:v>
                </c:pt>
                <c:pt idx="27">
                  <c:v>2559</c:v>
                </c:pt>
                <c:pt idx="28">
                  <c:v>2284</c:v>
                </c:pt>
                <c:pt idx="29">
                  <c:v>2096</c:v>
                </c:pt>
                <c:pt idx="30">
                  <c:v>1986</c:v>
                </c:pt>
                <c:pt idx="31">
                  <c:v>1717</c:v>
                </c:pt>
                <c:pt idx="32">
                  <c:v>1879</c:v>
                </c:pt>
                <c:pt idx="33">
                  <c:v>1547</c:v>
                </c:pt>
                <c:pt idx="34">
                  <c:v>1123</c:v>
                </c:pt>
                <c:pt idx="35">
                  <c:v>1239</c:v>
                </c:pt>
                <c:pt idx="36">
                  <c:v>1528</c:v>
                </c:pt>
                <c:pt idx="37">
                  <c:v>393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3FEC-4330-910F-0A6765FE789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144726399"/>
        <c:axId val="1144726879"/>
      </c:barChart>
      <c:dateAx>
        <c:axId val="1144726399"/>
        <c:scaling>
          <c:orientation val="minMax"/>
        </c:scaling>
        <c:delete val="0"/>
        <c:axPos val="b"/>
        <c:numFmt formatCode="mmm\ yyyy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44726879"/>
        <c:crosses val="autoZero"/>
        <c:auto val="1"/>
        <c:lblOffset val="100"/>
        <c:baseTimeUnit val="months"/>
      </c:dateAx>
      <c:valAx>
        <c:axId val="1144726879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44726399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103515</xdr:colOff>
      <xdr:row>0</xdr:row>
      <xdr:rowOff>56070</xdr:rowOff>
    </xdr:from>
    <xdr:to>
      <xdr:col>15</xdr:col>
      <xdr:colOff>284670</xdr:colOff>
      <xdr:row>24</xdr:row>
      <xdr:rowOff>116455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BEC68BC2-288A-A1A1-CB70-FC5DF69F01F6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4</xdr:col>
      <xdr:colOff>103517</xdr:colOff>
      <xdr:row>24</xdr:row>
      <xdr:rowOff>168213</xdr:rowOff>
    </xdr:from>
    <xdr:to>
      <xdr:col>15</xdr:col>
      <xdr:colOff>284672</xdr:colOff>
      <xdr:row>49</xdr:row>
      <xdr:rowOff>21564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17C4826A-1188-60C1-47C0-972C72C02EEE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1" xr16:uid="{05465046-59D9-44DD-92BB-F5E2695612FA}" autoFormatId="16" applyNumberFormats="0" applyBorderFormats="0" applyFontFormats="0" applyPatternFormats="0" applyAlignmentFormats="0" applyWidthHeightFormats="0">
  <queryTableRefresh nextId="5">
    <queryTableFields count="4">
      <queryTableField id="1" name="MonthYear" tableColumnId="1"/>
      <queryTableField id="2" name="CountOfMLS® ." tableColumnId="2"/>
      <queryTableField id="3" name="DaysUsed" tableColumnId="3"/>
      <queryTableField id="4" name="AvgDailySales" tableColumnId="4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F6FD64D8-C713-4D0C-BCF7-9B263E538052}" name="CloseDateSpeedOfMarket__3" displayName="CloseDateSpeedOfMarket__3" ref="A1:D39" tableType="queryTable" totalsRowShown="0" headerRowDxfId="1" dataDxfId="2">
  <autoFilter ref="A1:D39" xr:uid="{F6FD64D8-C713-4D0C-BCF7-9B263E538052}"/>
  <tableColumns count="4">
    <tableColumn id="1" xr3:uid="{452EACBE-A4D5-4A01-8882-8B2B8693848B}" uniqueName="1" name="MonthYear" queryTableFieldId="1" dataDxfId="0"/>
    <tableColumn id="2" xr3:uid="{FA0E16D1-089F-4DEF-B248-30C2E494FAAF}" uniqueName="2" name="CountOfMLS® ." queryTableFieldId="2" dataDxfId="5"/>
    <tableColumn id="3" xr3:uid="{FAF5E6D8-87EA-49A4-B831-19BE708BA4BF}" uniqueName="3" name="DaysUsed" queryTableFieldId="3" dataDxfId="4"/>
    <tableColumn id="4" xr3:uid="{31A61AD7-45AA-426A-B82D-5117CBB5CF5C}" uniqueName="4" name="AvgDailySales" queryTableFieldId="4" dataDxfId="3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table" Target="../tables/table1.x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8526451-F20B-4281-AFBA-B47B189936B3}">
  <sheetPr>
    <pageSetUpPr fitToPage="1"/>
  </sheetPr>
  <dimension ref="A1:S42"/>
  <sheetViews>
    <sheetView tabSelected="1" workbookViewId="0">
      <selection sqref="A1:A1048576"/>
    </sheetView>
  </sheetViews>
  <sheetFormatPr defaultRowHeight="15.6" x14ac:dyDescent="0.3"/>
  <cols>
    <col min="1" max="1" width="14.296875" style="23" bestFit="1" customWidth="1"/>
    <col min="2" max="2" width="17.5" style="1" bestFit="1" customWidth="1"/>
    <col min="3" max="3" width="13.09765625" style="1" bestFit="1" customWidth="1"/>
    <col min="4" max="4" width="16.296875" style="1" bestFit="1" customWidth="1"/>
  </cols>
  <sheetData>
    <row r="1" spans="1:19" x14ac:dyDescent="0.3">
      <c r="A1" s="22" t="s">
        <v>0</v>
      </c>
      <c r="B1" s="1" t="s">
        <v>17</v>
      </c>
      <c r="C1" s="1" t="s">
        <v>1</v>
      </c>
      <c r="D1" s="1" t="s">
        <v>2</v>
      </c>
    </row>
    <row r="2" spans="1:19" x14ac:dyDescent="0.3">
      <c r="A2" s="23">
        <v>44958</v>
      </c>
      <c r="B2">
        <v>1737</v>
      </c>
      <c r="C2">
        <v>28</v>
      </c>
      <c r="D2">
        <v>62</v>
      </c>
      <c r="Q2" s="19"/>
    </row>
    <row r="3" spans="1:19" x14ac:dyDescent="0.3">
      <c r="A3" s="23">
        <v>44986</v>
      </c>
      <c r="B3">
        <v>2424</v>
      </c>
      <c r="C3">
        <v>31</v>
      </c>
      <c r="D3">
        <v>78</v>
      </c>
      <c r="Q3" s="19"/>
    </row>
    <row r="4" spans="1:19" x14ac:dyDescent="0.3">
      <c r="A4" s="23">
        <v>45017</v>
      </c>
      <c r="B4">
        <v>2686</v>
      </c>
      <c r="C4">
        <v>30</v>
      </c>
      <c r="D4">
        <v>90</v>
      </c>
      <c r="Q4" s="19"/>
    </row>
    <row r="5" spans="1:19" x14ac:dyDescent="0.3">
      <c r="A5" s="23">
        <v>45047</v>
      </c>
      <c r="B5">
        <v>3117</v>
      </c>
      <c r="C5">
        <v>31</v>
      </c>
      <c r="D5">
        <v>101</v>
      </c>
      <c r="Q5" s="19"/>
    </row>
    <row r="6" spans="1:19" x14ac:dyDescent="0.3">
      <c r="A6" s="23">
        <v>45078</v>
      </c>
      <c r="B6">
        <v>3140</v>
      </c>
      <c r="C6">
        <v>30</v>
      </c>
      <c r="D6">
        <v>105</v>
      </c>
      <c r="Q6" s="19"/>
    </row>
    <row r="7" spans="1:19" x14ac:dyDescent="0.3">
      <c r="A7" s="23">
        <v>45108</v>
      </c>
      <c r="B7">
        <v>2644</v>
      </c>
      <c r="C7">
        <v>31</v>
      </c>
      <c r="D7">
        <v>85</v>
      </c>
      <c r="Q7" s="19"/>
    </row>
    <row r="8" spans="1:19" x14ac:dyDescent="0.3">
      <c r="A8" s="23">
        <v>45139</v>
      </c>
      <c r="B8">
        <v>2716</v>
      </c>
      <c r="C8">
        <v>31</v>
      </c>
      <c r="D8">
        <v>88</v>
      </c>
      <c r="Q8" s="19"/>
    </row>
    <row r="9" spans="1:19" x14ac:dyDescent="0.3">
      <c r="A9" s="23">
        <v>45170</v>
      </c>
      <c r="B9">
        <v>2430</v>
      </c>
      <c r="C9">
        <v>30</v>
      </c>
      <c r="D9">
        <v>81</v>
      </c>
      <c r="Q9" s="19"/>
    </row>
    <row r="10" spans="1:19" x14ac:dyDescent="0.3">
      <c r="A10" s="23">
        <v>45200</v>
      </c>
      <c r="B10">
        <v>2169</v>
      </c>
      <c r="C10">
        <v>31</v>
      </c>
      <c r="D10">
        <v>70</v>
      </c>
      <c r="Q10" s="19"/>
    </row>
    <row r="11" spans="1:19" x14ac:dyDescent="0.3">
      <c r="A11" s="23">
        <v>45231</v>
      </c>
      <c r="B11">
        <v>1783</v>
      </c>
      <c r="C11">
        <v>30</v>
      </c>
      <c r="D11">
        <v>59</v>
      </c>
      <c r="Q11" s="19"/>
    </row>
    <row r="12" spans="1:19" x14ac:dyDescent="0.3">
      <c r="A12" s="23">
        <v>45261</v>
      </c>
      <c r="B12">
        <v>1363</v>
      </c>
      <c r="C12">
        <v>31</v>
      </c>
      <c r="D12">
        <v>44</v>
      </c>
      <c r="Q12" s="19"/>
    </row>
    <row r="13" spans="1:19" x14ac:dyDescent="0.3">
      <c r="A13" s="23">
        <v>45292</v>
      </c>
      <c r="B13">
        <v>1648</v>
      </c>
      <c r="C13">
        <v>31</v>
      </c>
      <c r="D13">
        <v>53</v>
      </c>
      <c r="Q13" s="19"/>
    </row>
    <row r="14" spans="1:19" x14ac:dyDescent="0.3">
      <c r="A14" s="23">
        <v>45323</v>
      </c>
      <c r="B14">
        <v>2132</v>
      </c>
      <c r="C14">
        <v>29</v>
      </c>
      <c r="D14">
        <v>74</v>
      </c>
      <c r="Q14" s="19">
        <f t="shared" ref="Q14:Q26" si="0">D14/D2-1</f>
        <v>0.19354838709677424</v>
      </c>
      <c r="R14" s="19">
        <f>B14/B2-1</f>
        <v>0.22740356937248118</v>
      </c>
      <c r="S14">
        <f>A14</f>
        <v>45323</v>
      </c>
    </row>
    <row r="15" spans="1:19" x14ac:dyDescent="0.3">
      <c r="A15" s="23">
        <v>45352</v>
      </c>
      <c r="B15">
        <v>2658</v>
      </c>
      <c r="C15">
        <v>31</v>
      </c>
      <c r="D15">
        <v>86</v>
      </c>
      <c r="Q15" s="19">
        <f t="shared" si="0"/>
        <v>0.10256410256410264</v>
      </c>
      <c r="R15" s="19">
        <f t="shared" ref="R15:R39" si="1">B15/B3-1</f>
        <v>9.653465346534662E-2</v>
      </c>
      <c r="S15">
        <f t="shared" ref="S15:S39" si="2">A15</f>
        <v>45352</v>
      </c>
    </row>
    <row r="16" spans="1:19" x14ac:dyDescent="0.3">
      <c r="A16" s="23">
        <v>45383</v>
      </c>
      <c r="B16">
        <v>2875</v>
      </c>
      <c r="C16">
        <v>30</v>
      </c>
      <c r="D16">
        <v>96</v>
      </c>
      <c r="Q16" s="19">
        <f t="shared" si="0"/>
        <v>6.6666666666666652E-2</v>
      </c>
      <c r="R16" s="19">
        <f t="shared" si="1"/>
        <v>7.036485480268051E-2</v>
      </c>
      <c r="S16">
        <f t="shared" si="2"/>
        <v>45383</v>
      </c>
    </row>
    <row r="17" spans="1:19" x14ac:dyDescent="0.3">
      <c r="A17" s="23">
        <v>45413</v>
      </c>
      <c r="B17">
        <v>3089</v>
      </c>
      <c r="C17">
        <v>31</v>
      </c>
      <c r="D17">
        <v>100</v>
      </c>
      <c r="Q17" s="19">
        <f t="shared" si="0"/>
        <v>-9.9009900990099098E-3</v>
      </c>
      <c r="R17" s="19">
        <f t="shared" si="1"/>
        <v>-8.9829964709656762E-3</v>
      </c>
      <c r="S17">
        <f t="shared" si="2"/>
        <v>45413</v>
      </c>
    </row>
    <row r="18" spans="1:19" x14ac:dyDescent="0.3">
      <c r="A18" s="23">
        <v>45444</v>
      </c>
      <c r="B18">
        <v>2737</v>
      </c>
      <c r="C18">
        <v>30</v>
      </c>
      <c r="D18">
        <v>91</v>
      </c>
      <c r="Q18" s="19">
        <f t="shared" si="0"/>
        <v>-0.1333333333333333</v>
      </c>
      <c r="R18" s="19">
        <f t="shared" si="1"/>
        <v>-0.12834394904458601</v>
      </c>
      <c r="S18">
        <f t="shared" si="2"/>
        <v>45444</v>
      </c>
    </row>
    <row r="19" spans="1:19" x14ac:dyDescent="0.3">
      <c r="A19" s="23">
        <v>45474</v>
      </c>
      <c r="B19">
        <v>2374</v>
      </c>
      <c r="C19">
        <v>31</v>
      </c>
      <c r="D19">
        <v>77</v>
      </c>
      <c r="Q19" s="19">
        <f t="shared" si="0"/>
        <v>-9.4117647058823528E-2</v>
      </c>
      <c r="R19" s="19">
        <f t="shared" si="1"/>
        <v>-0.10211800302571861</v>
      </c>
      <c r="S19">
        <f t="shared" si="2"/>
        <v>45474</v>
      </c>
    </row>
    <row r="20" spans="1:19" x14ac:dyDescent="0.3">
      <c r="A20" s="23">
        <v>45505</v>
      </c>
      <c r="B20">
        <v>2183</v>
      </c>
      <c r="C20">
        <v>31</v>
      </c>
      <c r="D20">
        <v>70</v>
      </c>
      <c r="Q20" s="19">
        <f t="shared" si="0"/>
        <v>-0.20454545454545459</v>
      </c>
      <c r="R20" s="19">
        <f t="shared" si="1"/>
        <v>-0.19624447717231219</v>
      </c>
      <c r="S20">
        <f t="shared" si="2"/>
        <v>45505</v>
      </c>
    </row>
    <row r="21" spans="1:19" x14ac:dyDescent="0.3">
      <c r="A21" s="23">
        <v>45536</v>
      </c>
      <c r="B21">
        <v>1999</v>
      </c>
      <c r="C21">
        <v>30</v>
      </c>
      <c r="D21">
        <v>67</v>
      </c>
      <c r="Q21" s="19">
        <f t="shared" si="0"/>
        <v>-0.1728395061728395</v>
      </c>
      <c r="R21" s="19">
        <f t="shared" si="1"/>
        <v>-0.17736625514403292</v>
      </c>
      <c r="S21">
        <f t="shared" si="2"/>
        <v>45536</v>
      </c>
    </row>
    <row r="22" spans="1:19" x14ac:dyDescent="0.3">
      <c r="A22" s="23">
        <v>45566</v>
      </c>
      <c r="B22">
        <v>2167</v>
      </c>
      <c r="C22">
        <v>31</v>
      </c>
      <c r="D22">
        <v>70</v>
      </c>
      <c r="Q22" s="19">
        <f t="shared" si="0"/>
        <v>0</v>
      </c>
      <c r="R22" s="19">
        <f t="shared" si="1"/>
        <v>-9.2208390963577358E-4</v>
      </c>
      <c r="S22">
        <f t="shared" si="2"/>
        <v>45566</v>
      </c>
    </row>
    <row r="23" spans="1:19" x14ac:dyDescent="0.3">
      <c r="A23" s="23">
        <v>45597</v>
      </c>
      <c r="B23">
        <v>1793</v>
      </c>
      <c r="C23">
        <v>30</v>
      </c>
      <c r="D23">
        <v>60</v>
      </c>
      <c r="Q23" s="19">
        <f t="shared" si="0"/>
        <v>1.6949152542372836E-2</v>
      </c>
      <c r="R23" s="19">
        <f t="shared" si="1"/>
        <v>5.6085249579360674E-3</v>
      </c>
      <c r="S23">
        <f t="shared" si="2"/>
        <v>45597</v>
      </c>
    </row>
    <row r="24" spans="1:19" x14ac:dyDescent="0.3">
      <c r="A24" s="23">
        <v>45627</v>
      </c>
      <c r="B24">
        <v>1318</v>
      </c>
      <c r="C24">
        <v>31</v>
      </c>
      <c r="D24">
        <v>43</v>
      </c>
      <c r="Q24" s="19">
        <f t="shared" si="0"/>
        <v>-2.2727272727272707E-2</v>
      </c>
      <c r="R24" s="19">
        <f t="shared" si="1"/>
        <v>-3.301540719002205E-2</v>
      </c>
      <c r="S24">
        <f t="shared" si="2"/>
        <v>45627</v>
      </c>
    </row>
    <row r="25" spans="1:19" x14ac:dyDescent="0.3">
      <c r="A25" s="23">
        <v>45658</v>
      </c>
      <c r="B25">
        <v>1449</v>
      </c>
      <c r="C25">
        <v>31</v>
      </c>
      <c r="D25">
        <v>47</v>
      </c>
      <c r="Q25" s="19">
        <f t="shared" si="0"/>
        <v>-0.1132075471698113</v>
      </c>
      <c r="R25" s="19">
        <f t="shared" si="1"/>
        <v>-0.12075242718446599</v>
      </c>
      <c r="S25">
        <f t="shared" si="2"/>
        <v>45658</v>
      </c>
    </row>
    <row r="26" spans="1:19" x14ac:dyDescent="0.3">
      <c r="A26" s="23">
        <v>45689</v>
      </c>
      <c r="B26">
        <v>1718</v>
      </c>
      <c r="C26">
        <v>28</v>
      </c>
      <c r="D26">
        <v>61</v>
      </c>
      <c r="Q26" s="19">
        <f t="shared" si="0"/>
        <v>-0.17567567567567566</v>
      </c>
      <c r="R26" s="19">
        <f t="shared" si="1"/>
        <v>-0.19418386491557227</v>
      </c>
      <c r="S26">
        <f t="shared" si="2"/>
        <v>45689</v>
      </c>
    </row>
    <row r="27" spans="1:19" x14ac:dyDescent="0.3">
      <c r="A27" s="23">
        <v>45717</v>
      </c>
      <c r="B27">
        <v>2156</v>
      </c>
      <c r="C27">
        <v>31</v>
      </c>
      <c r="D27">
        <v>70</v>
      </c>
      <c r="Q27" s="19">
        <f>D27/D15-1</f>
        <v>-0.18604651162790697</v>
      </c>
      <c r="R27" s="19">
        <f t="shared" si="1"/>
        <v>-0.18886380737396535</v>
      </c>
      <c r="S27">
        <f t="shared" si="2"/>
        <v>45717</v>
      </c>
    </row>
    <row r="28" spans="1:19" x14ac:dyDescent="0.3">
      <c r="A28" s="23">
        <v>45748</v>
      </c>
      <c r="B28">
        <v>2230</v>
      </c>
      <c r="C28">
        <v>30</v>
      </c>
      <c r="D28">
        <v>74</v>
      </c>
      <c r="Q28" s="19">
        <f t="shared" ref="Q28:Q38" si="3">D28/D16-1</f>
        <v>-0.22916666666666663</v>
      </c>
      <c r="R28" s="19">
        <f t="shared" si="1"/>
        <v>-0.22434782608695647</v>
      </c>
      <c r="S28">
        <f t="shared" si="2"/>
        <v>45748</v>
      </c>
    </row>
    <row r="29" spans="1:19" x14ac:dyDescent="0.3">
      <c r="A29" s="23">
        <v>45778</v>
      </c>
      <c r="B29">
        <v>2559</v>
      </c>
      <c r="C29">
        <v>31</v>
      </c>
      <c r="D29">
        <v>83</v>
      </c>
      <c r="Q29" s="19">
        <f t="shared" si="3"/>
        <v>-0.17000000000000004</v>
      </c>
      <c r="R29" s="19">
        <f t="shared" si="1"/>
        <v>-0.17157656199417293</v>
      </c>
      <c r="S29">
        <f t="shared" si="2"/>
        <v>45778</v>
      </c>
    </row>
    <row r="30" spans="1:19" x14ac:dyDescent="0.3">
      <c r="A30" s="23">
        <v>45809</v>
      </c>
      <c r="B30">
        <v>2284</v>
      </c>
      <c r="C30">
        <v>30</v>
      </c>
      <c r="D30">
        <v>76</v>
      </c>
      <c r="Q30" s="19">
        <f t="shared" si="3"/>
        <v>-0.1648351648351648</v>
      </c>
      <c r="R30" s="19">
        <f t="shared" si="1"/>
        <v>-0.16550968213372308</v>
      </c>
      <c r="S30">
        <f t="shared" si="2"/>
        <v>45809</v>
      </c>
    </row>
    <row r="31" spans="1:19" x14ac:dyDescent="0.3">
      <c r="A31" s="23">
        <v>45839</v>
      </c>
      <c r="B31">
        <v>2096</v>
      </c>
      <c r="C31">
        <v>31</v>
      </c>
      <c r="D31">
        <v>68</v>
      </c>
      <c r="Q31" s="19">
        <f t="shared" si="3"/>
        <v>-0.11688311688311692</v>
      </c>
      <c r="R31" s="19">
        <f t="shared" si="1"/>
        <v>-0.11710193765796129</v>
      </c>
      <c r="S31">
        <f t="shared" si="2"/>
        <v>45839</v>
      </c>
    </row>
    <row r="32" spans="1:19" x14ac:dyDescent="0.3">
      <c r="A32" s="23">
        <v>45870</v>
      </c>
      <c r="B32">
        <v>1986</v>
      </c>
      <c r="C32">
        <v>31</v>
      </c>
      <c r="D32">
        <v>64</v>
      </c>
      <c r="Q32" s="19">
        <f t="shared" si="3"/>
        <v>-8.5714285714285743E-2</v>
      </c>
      <c r="R32" s="19">
        <f t="shared" si="1"/>
        <v>-9.0242785158039407E-2</v>
      </c>
      <c r="S32">
        <f t="shared" si="2"/>
        <v>45870</v>
      </c>
    </row>
    <row r="33" spans="1:19" x14ac:dyDescent="0.3">
      <c r="A33" s="23">
        <v>45901</v>
      </c>
      <c r="B33">
        <v>1717</v>
      </c>
      <c r="C33">
        <v>30</v>
      </c>
      <c r="D33">
        <v>57</v>
      </c>
      <c r="Q33" s="19">
        <f t="shared" si="3"/>
        <v>-0.14925373134328357</v>
      </c>
      <c r="R33" s="19">
        <f t="shared" si="1"/>
        <v>-0.1410705352676338</v>
      </c>
      <c r="S33">
        <f t="shared" si="2"/>
        <v>45901</v>
      </c>
    </row>
    <row r="34" spans="1:19" x14ac:dyDescent="0.3">
      <c r="A34" s="23">
        <v>45931</v>
      </c>
      <c r="B34">
        <v>1879</v>
      </c>
      <c r="C34">
        <v>31</v>
      </c>
      <c r="D34">
        <v>61</v>
      </c>
      <c r="Q34" s="19">
        <f t="shared" si="3"/>
        <v>-0.12857142857142856</v>
      </c>
      <c r="R34" s="19">
        <f t="shared" si="1"/>
        <v>-0.13290263036455929</v>
      </c>
      <c r="S34">
        <f t="shared" si="2"/>
        <v>45931</v>
      </c>
    </row>
    <row r="35" spans="1:19" x14ac:dyDescent="0.3">
      <c r="A35" s="23">
        <v>45962</v>
      </c>
      <c r="B35">
        <v>1547</v>
      </c>
      <c r="C35">
        <v>30</v>
      </c>
      <c r="D35">
        <v>52</v>
      </c>
      <c r="Q35" s="19">
        <f t="shared" si="3"/>
        <v>-0.1333333333333333</v>
      </c>
      <c r="R35" s="19">
        <f t="shared" si="1"/>
        <v>-0.13720022308979363</v>
      </c>
      <c r="S35">
        <f t="shared" si="2"/>
        <v>45962</v>
      </c>
    </row>
    <row r="36" spans="1:19" x14ac:dyDescent="0.3">
      <c r="A36" s="23">
        <v>45992</v>
      </c>
      <c r="B36">
        <v>1123</v>
      </c>
      <c r="C36">
        <v>31</v>
      </c>
      <c r="D36">
        <v>36</v>
      </c>
      <c r="Q36" s="19">
        <f t="shared" si="3"/>
        <v>-0.16279069767441856</v>
      </c>
      <c r="R36" s="19">
        <f t="shared" si="1"/>
        <v>-0.14795144157814866</v>
      </c>
      <c r="S36">
        <f t="shared" si="2"/>
        <v>45992</v>
      </c>
    </row>
    <row r="37" spans="1:19" x14ac:dyDescent="0.3">
      <c r="A37" s="23">
        <v>46023</v>
      </c>
      <c r="B37">
        <v>1239</v>
      </c>
      <c r="C37">
        <v>31</v>
      </c>
      <c r="D37">
        <v>40</v>
      </c>
      <c r="Q37" s="19">
        <f t="shared" si="3"/>
        <v>-0.14893617021276595</v>
      </c>
      <c r="R37" s="19">
        <f t="shared" si="1"/>
        <v>-0.14492753623188404</v>
      </c>
      <c r="S37">
        <f t="shared" si="2"/>
        <v>46023</v>
      </c>
    </row>
    <row r="38" spans="1:19" x14ac:dyDescent="0.3">
      <c r="A38" s="23">
        <v>46054</v>
      </c>
      <c r="B38">
        <v>1528</v>
      </c>
      <c r="C38">
        <v>28</v>
      </c>
      <c r="D38">
        <v>55</v>
      </c>
      <c r="Q38" s="19">
        <f t="shared" si="3"/>
        <v>-9.8360655737704916E-2</v>
      </c>
      <c r="R38" s="19">
        <f t="shared" si="1"/>
        <v>-0.11059371362048898</v>
      </c>
      <c r="S38">
        <f t="shared" si="2"/>
        <v>46054</v>
      </c>
    </row>
    <row r="39" spans="1:19" x14ac:dyDescent="0.3">
      <c r="A39" s="23">
        <v>46082</v>
      </c>
      <c r="B39">
        <v>393</v>
      </c>
      <c r="C39">
        <v>9</v>
      </c>
      <c r="D39">
        <v>44</v>
      </c>
      <c r="Q39" s="19">
        <f>D39/D27-1</f>
        <v>-0.37142857142857144</v>
      </c>
      <c r="R39" s="19">
        <f t="shared" si="1"/>
        <v>-0.81771799628942488</v>
      </c>
      <c r="S39">
        <f t="shared" si="2"/>
        <v>46082</v>
      </c>
    </row>
    <row r="41" spans="1:19" x14ac:dyDescent="0.3">
      <c r="A41" s="21"/>
      <c r="B41" s="21"/>
    </row>
    <row r="42" spans="1:19" x14ac:dyDescent="0.3">
      <c r="C42" s="20"/>
    </row>
  </sheetData>
  <mergeCells count="1">
    <mergeCell ref="A41:B41"/>
  </mergeCells>
  <pageMargins left="0.7" right="0.7" top="0.75" bottom="0.75" header="0.3" footer="0.3"/>
  <pageSetup scale="64" orientation="landscape" r:id="rId1"/>
  <drawing r:id="rId2"/>
  <tableParts count="1">
    <tablePart r:id="rId3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EBE1B1C-AC3C-44E5-BFCA-1BBBD8A8FB95}">
  <dimension ref="A1:J20"/>
  <sheetViews>
    <sheetView workbookViewId="0">
      <selection activeCell="H6" sqref="H6"/>
    </sheetView>
  </sheetViews>
  <sheetFormatPr defaultRowHeight="15.6" x14ac:dyDescent="0.3"/>
  <cols>
    <col min="1" max="1" width="10.19921875" customWidth="1"/>
    <col min="2" max="3" width="6.3984375" style="1" bestFit="1" customWidth="1"/>
    <col min="4" max="4" width="13.59765625" style="1" bestFit="1" customWidth="1"/>
    <col min="5" max="5" width="13.59765625" bestFit="1" customWidth="1"/>
    <col min="6" max="6" width="12.8984375" bestFit="1" customWidth="1"/>
    <col min="7" max="7" width="22" bestFit="1" customWidth="1"/>
    <col min="8" max="8" width="25.796875" bestFit="1" customWidth="1"/>
    <col min="9" max="9" width="15.09765625" style="12" bestFit="1" customWidth="1"/>
    <col min="10" max="10" width="18.8984375" style="12" bestFit="1" customWidth="1"/>
  </cols>
  <sheetData>
    <row r="1" spans="1:10" ht="19.05" x14ac:dyDescent="0.35">
      <c r="A1" s="8" t="s">
        <v>3</v>
      </c>
      <c r="B1" s="9" t="s">
        <v>4</v>
      </c>
      <c r="C1" s="9" t="s">
        <v>5</v>
      </c>
      <c r="D1" s="9" t="s">
        <v>6</v>
      </c>
      <c r="E1" s="10" t="s">
        <v>7</v>
      </c>
      <c r="F1" s="10" t="s">
        <v>8</v>
      </c>
      <c r="G1" s="9" t="s">
        <v>15</v>
      </c>
      <c r="H1" s="9" t="s">
        <v>16</v>
      </c>
      <c r="I1" s="11" t="s">
        <v>9</v>
      </c>
      <c r="J1" s="11" t="s">
        <v>10</v>
      </c>
    </row>
    <row r="2" spans="1:10" ht="16.350000000000001" x14ac:dyDescent="0.3">
      <c r="A2">
        <f>CloseDateSpeedOfMarket!A26</f>
        <v>45689</v>
      </c>
      <c r="B2" s="1">
        <f>CloseDateSpeedOfMarket!B26</f>
        <v>1718</v>
      </c>
      <c r="C2" s="1">
        <f t="shared" ref="C2:C14" si="0">B2*2</f>
        <v>3436</v>
      </c>
      <c r="D2" s="2">
        <f>C2*10000</f>
        <v>34360000</v>
      </c>
      <c r="E2" s="3">
        <f>D2*80%</f>
        <v>27488000</v>
      </c>
      <c r="F2" s="3">
        <f>D2*20%</f>
        <v>6872000</v>
      </c>
      <c r="G2" s="4">
        <f>E2/(8500*20%)</f>
        <v>16169.411764705883</v>
      </c>
      <c r="H2" s="4">
        <f>F2/(8500*80%)</f>
        <v>1010.5882352941177</v>
      </c>
      <c r="I2" s="5">
        <f>G2/10000</f>
        <v>1.6169411764705883</v>
      </c>
      <c r="J2" s="5">
        <f>H2/10000</f>
        <v>0.10105882352941177</v>
      </c>
    </row>
    <row r="3" spans="1:10" ht="16.350000000000001" x14ac:dyDescent="0.3">
      <c r="A3">
        <f>CloseDateSpeedOfMarket!A27</f>
        <v>45717</v>
      </c>
      <c r="B3" s="1">
        <f>CloseDateSpeedOfMarket!B27</f>
        <v>2156</v>
      </c>
      <c r="C3" s="1">
        <f t="shared" si="0"/>
        <v>4312</v>
      </c>
      <c r="D3" s="2">
        <f t="shared" ref="D3:D14" si="1">C3*10000</f>
        <v>43120000</v>
      </c>
      <c r="E3" s="3">
        <f t="shared" ref="E3:E15" si="2">D3*80%</f>
        <v>34496000</v>
      </c>
      <c r="F3" s="3">
        <f t="shared" ref="F3:F15" si="3">D3*20%</f>
        <v>8624000</v>
      </c>
      <c r="G3" s="4">
        <f t="shared" ref="G3:G15" si="4">E3/(8500*20%)</f>
        <v>20291.764705882353</v>
      </c>
      <c r="H3" s="4">
        <f t="shared" ref="H3:H15" si="5">F3/(8500*80%)</f>
        <v>1268.2352941176471</v>
      </c>
      <c r="I3" s="5">
        <f t="shared" ref="I3:I15" si="6">G3/10000</f>
        <v>2.0291764705882351</v>
      </c>
      <c r="J3" s="5">
        <f t="shared" ref="J3:J15" si="7">H3/10000</f>
        <v>0.1268235294117647</v>
      </c>
    </row>
    <row r="4" spans="1:10" ht="16.350000000000001" x14ac:dyDescent="0.3">
      <c r="A4">
        <f>CloseDateSpeedOfMarket!A28</f>
        <v>45748</v>
      </c>
      <c r="B4" s="1">
        <f>CloseDateSpeedOfMarket!B28</f>
        <v>2230</v>
      </c>
      <c r="C4" s="1">
        <f t="shared" si="0"/>
        <v>4460</v>
      </c>
      <c r="D4" s="2">
        <f t="shared" si="1"/>
        <v>44600000</v>
      </c>
      <c r="E4" s="3">
        <f t="shared" si="2"/>
        <v>35680000</v>
      </c>
      <c r="F4" s="3">
        <f t="shared" si="3"/>
        <v>8920000</v>
      </c>
      <c r="G4" s="4">
        <f t="shared" si="4"/>
        <v>20988.235294117647</v>
      </c>
      <c r="H4" s="4">
        <f t="shared" si="5"/>
        <v>1311.7647058823529</v>
      </c>
      <c r="I4" s="5">
        <f t="shared" si="6"/>
        <v>2.0988235294117645</v>
      </c>
      <c r="J4" s="5">
        <f t="shared" si="7"/>
        <v>0.13117647058823528</v>
      </c>
    </row>
    <row r="5" spans="1:10" ht="16.350000000000001" x14ac:dyDescent="0.3">
      <c r="A5">
        <f>CloseDateSpeedOfMarket!A29</f>
        <v>45778</v>
      </c>
      <c r="B5" s="1">
        <f>CloseDateSpeedOfMarket!B29</f>
        <v>2559</v>
      </c>
      <c r="C5" s="1">
        <f t="shared" si="0"/>
        <v>5118</v>
      </c>
      <c r="D5" s="2">
        <f t="shared" si="1"/>
        <v>51180000</v>
      </c>
      <c r="E5" s="3">
        <f t="shared" si="2"/>
        <v>40944000</v>
      </c>
      <c r="F5" s="3">
        <f t="shared" si="3"/>
        <v>10236000</v>
      </c>
      <c r="G5" s="4">
        <f t="shared" si="4"/>
        <v>24084.705882352941</v>
      </c>
      <c r="H5" s="4">
        <f t="shared" si="5"/>
        <v>1505.2941176470588</v>
      </c>
      <c r="I5" s="5">
        <f t="shared" si="6"/>
        <v>2.4084705882352941</v>
      </c>
      <c r="J5" s="5">
        <f t="shared" si="7"/>
        <v>0.15052941176470588</v>
      </c>
    </row>
    <row r="6" spans="1:10" ht="16.350000000000001" x14ac:dyDescent="0.3">
      <c r="A6">
        <f>CloseDateSpeedOfMarket!A30</f>
        <v>45809</v>
      </c>
      <c r="B6" s="1">
        <f>CloseDateSpeedOfMarket!B30</f>
        <v>2284</v>
      </c>
      <c r="C6" s="1">
        <f t="shared" si="0"/>
        <v>4568</v>
      </c>
      <c r="D6" s="2">
        <f t="shared" si="1"/>
        <v>45680000</v>
      </c>
      <c r="E6" s="3">
        <f t="shared" si="2"/>
        <v>36544000</v>
      </c>
      <c r="F6" s="3">
        <f t="shared" si="3"/>
        <v>9136000</v>
      </c>
      <c r="G6" s="4">
        <f t="shared" si="4"/>
        <v>21496.470588235294</v>
      </c>
      <c r="H6" s="4">
        <f t="shared" si="5"/>
        <v>1343.5294117647059</v>
      </c>
      <c r="I6" s="5">
        <f t="shared" si="6"/>
        <v>2.1496470588235295</v>
      </c>
      <c r="J6" s="5">
        <f t="shared" si="7"/>
        <v>0.13435294117647059</v>
      </c>
    </row>
    <row r="7" spans="1:10" ht="16.350000000000001" x14ac:dyDescent="0.3">
      <c r="A7">
        <f>CloseDateSpeedOfMarket!A31</f>
        <v>45839</v>
      </c>
      <c r="B7" s="1">
        <f>CloseDateSpeedOfMarket!B31</f>
        <v>2096</v>
      </c>
      <c r="C7" s="1">
        <f t="shared" si="0"/>
        <v>4192</v>
      </c>
      <c r="D7" s="2">
        <f t="shared" si="1"/>
        <v>41920000</v>
      </c>
      <c r="E7" s="3">
        <f t="shared" si="2"/>
        <v>33536000</v>
      </c>
      <c r="F7" s="3">
        <f t="shared" si="3"/>
        <v>8384000</v>
      </c>
      <c r="G7" s="4">
        <f t="shared" si="4"/>
        <v>19727.058823529413</v>
      </c>
      <c r="H7" s="4">
        <f t="shared" si="5"/>
        <v>1232.9411764705883</v>
      </c>
      <c r="I7" s="5">
        <f t="shared" si="6"/>
        <v>1.9727058823529413</v>
      </c>
      <c r="J7" s="5">
        <f t="shared" si="7"/>
        <v>0.12329411764705883</v>
      </c>
    </row>
    <row r="8" spans="1:10" ht="16.350000000000001" x14ac:dyDescent="0.3">
      <c r="A8">
        <f>CloseDateSpeedOfMarket!A32</f>
        <v>45870</v>
      </c>
      <c r="B8" s="1">
        <f>CloseDateSpeedOfMarket!B32</f>
        <v>1986</v>
      </c>
      <c r="C8" s="1">
        <f t="shared" si="0"/>
        <v>3972</v>
      </c>
      <c r="D8" s="2">
        <f t="shared" si="1"/>
        <v>39720000</v>
      </c>
      <c r="E8" s="3">
        <f t="shared" si="2"/>
        <v>31776000</v>
      </c>
      <c r="F8" s="3">
        <f t="shared" si="3"/>
        <v>7944000</v>
      </c>
      <c r="G8" s="4">
        <f t="shared" si="4"/>
        <v>18691.764705882353</v>
      </c>
      <c r="H8" s="4">
        <f t="shared" si="5"/>
        <v>1168.2352941176471</v>
      </c>
      <c r="I8" s="5">
        <f t="shared" si="6"/>
        <v>1.8691764705882352</v>
      </c>
      <c r="J8" s="5">
        <f t="shared" si="7"/>
        <v>0.1168235294117647</v>
      </c>
    </row>
    <row r="9" spans="1:10" ht="16.350000000000001" x14ac:dyDescent="0.3">
      <c r="A9">
        <f>CloseDateSpeedOfMarket!A33</f>
        <v>45901</v>
      </c>
      <c r="B9" s="1">
        <f>CloseDateSpeedOfMarket!B33</f>
        <v>1717</v>
      </c>
      <c r="C9" s="1">
        <f t="shared" si="0"/>
        <v>3434</v>
      </c>
      <c r="D9" s="2">
        <f t="shared" si="1"/>
        <v>34340000</v>
      </c>
      <c r="E9" s="3">
        <f t="shared" si="2"/>
        <v>27472000</v>
      </c>
      <c r="F9" s="3">
        <f t="shared" si="3"/>
        <v>6868000</v>
      </c>
      <c r="G9" s="4">
        <f t="shared" si="4"/>
        <v>16160</v>
      </c>
      <c r="H9" s="4">
        <f t="shared" si="5"/>
        <v>1010</v>
      </c>
      <c r="I9" s="5">
        <f t="shared" si="6"/>
        <v>1.6160000000000001</v>
      </c>
      <c r="J9" s="5">
        <f t="shared" si="7"/>
        <v>0.10100000000000001</v>
      </c>
    </row>
    <row r="10" spans="1:10" ht="16.350000000000001" x14ac:dyDescent="0.3">
      <c r="A10">
        <f>CloseDateSpeedOfMarket!A34</f>
        <v>45931</v>
      </c>
      <c r="B10" s="1">
        <f>CloseDateSpeedOfMarket!B34</f>
        <v>1879</v>
      </c>
      <c r="C10" s="1">
        <f t="shared" si="0"/>
        <v>3758</v>
      </c>
      <c r="D10" s="2">
        <f t="shared" si="1"/>
        <v>37580000</v>
      </c>
      <c r="E10" s="3">
        <f t="shared" si="2"/>
        <v>30064000</v>
      </c>
      <c r="F10" s="3">
        <f t="shared" si="3"/>
        <v>7516000</v>
      </c>
      <c r="G10" s="4">
        <f t="shared" si="4"/>
        <v>17684.705882352941</v>
      </c>
      <c r="H10" s="4">
        <f t="shared" si="5"/>
        <v>1105.2941176470588</v>
      </c>
      <c r="I10" s="5">
        <f t="shared" si="6"/>
        <v>1.768470588235294</v>
      </c>
      <c r="J10" s="5">
        <f t="shared" si="7"/>
        <v>0.11052941176470588</v>
      </c>
    </row>
    <row r="11" spans="1:10" ht="16.350000000000001" x14ac:dyDescent="0.3">
      <c r="A11">
        <f>CloseDateSpeedOfMarket!A35</f>
        <v>45962</v>
      </c>
      <c r="B11" s="1">
        <f>CloseDateSpeedOfMarket!B35</f>
        <v>1547</v>
      </c>
      <c r="C11" s="1">
        <f t="shared" si="0"/>
        <v>3094</v>
      </c>
      <c r="D11" s="2">
        <f t="shared" si="1"/>
        <v>30940000</v>
      </c>
      <c r="E11" s="3">
        <f t="shared" si="2"/>
        <v>24752000</v>
      </c>
      <c r="F11" s="3">
        <f t="shared" si="3"/>
        <v>6188000</v>
      </c>
      <c r="G11" s="4">
        <f t="shared" si="4"/>
        <v>14560</v>
      </c>
      <c r="H11" s="4">
        <f t="shared" si="5"/>
        <v>910</v>
      </c>
      <c r="I11" s="5">
        <f t="shared" si="6"/>
        <v>1.456</v>
      </c>
      <c r="J11" s="5">
        <f t="shared" si="7"/>
        <v>9.0999999999999998E-2</v>
      </c>
    </row>
    <row r="12" spans="1:10" ht="16.350000000000001" x14ac:dyDescent="0.3">
      <c r="A12">
        <f>CloseDateSpeedOfMarket!A36</f>
        <v>45992</v>
      </c>
      <c r="B12" s="1">
        <f>CloseDateSpeedOfMarket!B36</f>
        <v>1123</v>
      </c>
      <c r="C12" s="1">
        <f t="shared" si="0"/>
        <v>2246</v>
      </c>
      <c r="D12" s="2">
        <f t="shared" si="1"/>
        <v>22460000</v>
      </c>
      <c r="E12" s="3">
        <f t="shared" si="2"/>
        <v>17968000</v>
      </c>
      <c r="F12" s="3">
        <f t="shared" si="3"/>
        <v>4492000</v>
      </c>
      <c r="G12" s="4">
        <f t="shared" si="4"/>
        <v>10569.411764705883</v>
      </c>
      <c r="H12" s="4">
        <f t="shared" si="5"/>
        <v>660.58823529411768</v>
      </c>
      <c r="I12" s="5">
        <f t="shared" si="6"/>
        <v>1.0569411764705883</v>
      </c>
      <c r="J12" s="5">
        <f t="shared" si="7"/>
        <v>6.6058823529411767E-2</v>
      </c>
    </row>
    <row r="13" spans="1:10" ht="16.350000000000001" x14ac:dyDescent="0.3">
      <c r="A13">
        <f>CloseDateSpeedOfMarket!A37</f>
        <v>46023</v>
      </c>
      <c r="B13" s="1">
        <f>CloseDateSpeedOfMarket!B37</f>
        <v>1239</v>
      </c>
      <c r="C13" s="1">
        <f t="shared" si="0"/>
        <v>2478</v>
      </c>
      <c r="D13" s="2">
        <f t="shared" si="1"/>
        <v>24780000</v>
      </c>
      <c r="E13" s="3">
        <f t="shared" si="2"/>
        <v>19824000</v>
      </c>
      <c r="F13" s="3">
        <f t="shared" si="3"/>
        <v>4956000</v>
      </c>
      <c r="G13" s="4">
        <f t="shared" si="4"/>
        <v>11661.176470588236</v>
      </c>
      <c r="H13" s="4">
        <f t="shared" si="5"/>
        <v>728.82352941176475</v>
      </c>
      <c r="I13" s="5">
        <f t="shared" si="6"/>
        <v>1.1661176470588237</v>
      </c>
      <c r="J13" s="5">
        <f t="shared" si="7"/>
        <v>7.2882352941176481E-2</v>
      </c>
    </row>
    <row r="14" spans="1:10" ht="16.350000000000001" x14ac:dyDescent="0.3">
      <c r="A14">
        <f>CloseDateSpeedOfMarket!A38</f>
        <v>46054</v>
      </c>
      <c r="B14" s="1">
        <f>CloseDateSpeedOfMarket!B38</f>
        <v>1528</v>
      </c>
      <c r="C14" s="1">
        <f t="shared" si="0"/>
        <v>3056</v>
      </c>
      <c r="D14" s="2">
        <f t="shared" si="1"/>
        <v>30560000</v>
      </c>
      <c r="E14" s="3">
        <f t="shared" si="2"/>
        <v>24448000</v>
      </c>
      <c r="F14" s="3">
        <f t="shared" si="3"/>
        <v>6112000</v>
      </c>
      <c r="G14" s="4">
        <f t="shared" si="4"/>
        <v>14381.176470588236</v>
      </c>
      <c r="H14" s="4">
        <f t="shared" si="5"/>
        <v>898.82352941176475</v>
      </c>
      <c r="I14" s="5">
        <f t="shared" si="6"/>
        <v>1.4381176470588235</v>
      </c>
      <c r="J14" s="5">
        <f t="shared" si="7"/>
        <v>8.9882352941176469E-2</v>
      </c>
    </row>
    <row r="15" spans="1:10" ht="16.350000000000001" x14ac:dyDescent="0.3">
      <c r="B15" s="13">
        <f t="shared" ref="B15:C15" si="8">SUM(B2:B14)</f>
        <v>24062</v>
      </c>
      <c r="C15" s="13">
        <f t="shared" si="8"/>
        <v>48124</v>
      </c>
      <c r="D15" s="14">
        <f>SUM(D2:D14)</f>
        <v>481240000</v>
      </c>
      <c r="E15" s="15">
        <f t="shared" si="2"/>
        <v>384992000</v>
      </c>
      <c r="F15" s="15">
        <f t="shared" si="3"/>
        <v>96248000</v>
      </c>
      <c r="G15" s="16">
        <f t="shared" si="4"/>
        <v>226465.88235294117</v>
      </c>
      <c r="H15" s="16">
        <f t="shared" si="5"/>
        <v>14154.117647058823</v>
      </c>
      <c r="I15" s="17">
        <f t="shared" si="6"/>
        <v>22.646588235294118</v>
      </c>
      <c r="J15" s="17">
        <f t="shared" si="7"/>
        <v>1.4154117647058824</v>
      </c>
    </row>
    <row r="16" spans="1:10" ht="16.350000000000001" x14ac:dyDescent="0.3">
      <c r="E16" s="18">
        <f>E15/D15</f>
        <v>0.8</v>
      </c>
      <c r="F16" s="18">
        <f>F15/D15</f>
        <v>0.2</v>
      </c>
      <c r="G16" s="4"/>
    </row>
    <row r="17" spans="1:4" ht="25.8" x14ac:dyDescent="0.45">
      <c r="A17" s="6" t="s">
        <v>11</v>
      </c>
      <c r="B17" s="7"/>
      <c r="C17" s="7"/>
      <c r="D17" s="7"/>
    </row>
    <row r="18" spans="1:4" ht="25.8" x14ac:dyDescent="0.45">
      <c r="A18" s="6" t="s">
        <v>12</v>
      </c>
      <c r="B18" s="7"/>
      <c r="C18" s="7"/>
      <c r="D18" s="7"/>
    </row>
    <row r="19" spans="1:4" ht="25.8" x14ac:dyDescent="0.45">
      <c r="A19" s="6" t="s">
        <v>14</v>
      </c>
      <c r="B19" s="7"/>
      <c r="C19" s="7"/>
      <c r="D19" s="7"/>
    </row>
    <row r="20" spans="1:4" ht="25.8" x14ac:dyDescent="0.45">
      <c r="A20" s="6" t="s">
        <v>13</v>
      </c>
      <c r="B20" s="7"/>
      <c r="C20" s="7"/>
      <c r="D20" s="7"/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BF836357-1634-4729-B647-E75E6C294D37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1</vt:i4>
      </vt:variant>
    </vt:vector>
  </HeadingPairs>
  <TitlesOfParts>
    <vt:vector size="3" baseType="lpstr">
      <vt:lpstr>CloseDateSpeedOfMarket</vt:lpstr>
      <vt:lpstr>Sheet1</vt:lpstr>
      <vt:lpstr>CloseDateSpeedOfMarket!Print_Area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Jerry Charlton</dc:creator>
  <cp:lastModifiedBy>Jerry Charlton</cp:lastModifiedBy>
  <cp:lastPrinted>2026-02-25T19:35:54Z</cp:lastPrinted>
  <dcterms:created xsi:type="dcterms:W3CDTF">2026-02-04T19:45:12Z</dcterms:created>
  <dcterms:modified xsi:type="dcterms:W3CDTF">2026-03-09T11:25:41Z</dcterms:modified>
</cp:coreProperties>
</file>